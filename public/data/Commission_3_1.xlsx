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ri\Documents\"/>
    </mc:Choice>
  </mc:AlternateContent>
  <xr:revisionPtr revIDLastSave="0" documentId="13_ncr:1_{D393B15F-868D-402C-8485-EE094A8F652B}" xr6:coauthVersionLast="47" xr6:coauthVersionMax="47" xr10:uidLastSave="{00000000-0000-0000-0000-000000000000}"/>
  <bookViews>
    <workbookView xWindow="-110" yWindow="-110" windowWidth="19420" windowHeight="11500" firstSheet="3" activeTab="9" xr2:uid="{EF58DA79-382D-46AD-B4D2-967E5292CDFD}"/>
  </bookViews>
  <sheets>
    <sheet name="2020" sheetId="3" r:id="rId1"/>
    <sheet name="2021" sheetId="2" r:id="rId2"/>
    <sheet name="2022" sheetId="8" r:id="rId3"/>
    <sheet name="2023" sheetId="9" r:id="rId4"/>
    <sheet name="2024" sheetId="11" r:id="rId5"/>
    <sheet name="2025" sheetId="13" r:id="rId6"/>
    <sheet name="2026" sheetId="14" r:id="rId7"/>
    <sheet name="Estimate Comission" sheetId="7" r:id="rId8"/>
    <sheet name="26 Goals" sheetId="15" r:id="rId9"/>
    <sheet name="Goals estimator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16" l="1"/>
  <c r="F28" i="16"/>
  <c r="F29" i="16"/>
  <c r="F30" i="16"/>
  <c r="F31" i="16"/>
  <c r="F32" i="16"/>
  <c r="F33" i="16"/>
  <c r="F34" i="16"/>
  <c r="F35" i="16"/>
  <c r="F26" i="16"/>
  <c r="B26" i="16"/>
  <c r="G30" i="16"/>
  <c r="G31" i="16"/>
  <c r="G32" i="16"/>
  <c r="G33" i="16"/>
  <c r="B30" i="16"/>
  <c r="A30" i="16" s="1"/>
  <c r="B31" i="16"/>
  <c r="A31" i="16" s="1"/>
  <c r="G26" i="16"/>
  <c r="B27" i="16"/>
  <c r="B29" i="16"/>
  <c r="B32" i="16"/>
  <c r="B33" i="16"/>
  <c r="B34" i="16"/>
  <c r="B35" i="16"/>
  <c r="G27" i="16"/>
  <c r="G28" i="16"/>
  <c r="B28" i="16" s="1"/>
  <c r="G29" i="16"/>
  <c r="G34" i="16"/>
  <c r="G35" i="16"/>
  <c r="G15" i="16"/>
  <c r="G16" i="16"/>
  <c r="G17" i="16"/>
  <c r="G18" i="16"/>
  <c r="G19" i="16"/>
  <c r="G20" i="16"/>
  <c r="G21" i="16"/>
  <c r="G22" i="16"/>
  <c r="G23" i="16"/>
  <c r="G14" i="16"/>
  <c r="H14" i="16" s="1"/>
  <c r="A15" i="16"/>
  <c r="A16" i="16"/>
  <c r="A17" i="16"/>
  <c r="A18" i="16"/>
  <c r="A19" i="16"/>
  <c r="A20" i="16"/>
  <c r="A21" i="16"/>
  <c r="A22" i="16"/>
  <c r="A23" i="16"/>
  <c r="A14" i="16"/>
  <c r="F15" i="16"/>
  <c r="F16" i="16"/>
  <c r="F17" i="16"/>
  <c r="F18" i="16"/>
  <c r="F19" i="16"/>
  <c r="F20" i="16"/>
  <c r="F21" i="16"/>
  <c r="F22" i="16"/>
  <c r="F23" i="16"/>
  <c r="F14" i="16"/>
  <c r="F11" i="16"/>
  <c r="F3" i="16"/>
  <c r="F4" i="16"/>
  <c r="F5" i="16"/>
  <c r="F6" i="16"/>
  <c r="F7" i="16"/>
  <c r="F8" i="16"/>
  <c r="F9" i="16"/>
  <c r="F10" i="16"/>
  <c r="F2" i="16"/>
  <c r="K2" i="16"/>
  <c r="K3" i="16" s="1"/>
  <c r="G3" i="16"/>
  <c r="H3" i="16"/>
  <c r="A3" i="16" s="1"/>
  <c r="G4" i="16"/>
  <c r="H4" i="16"/>
  <c r="A4" i="16" s="1"/>
  <c r="G5" i="16"/>
  <c r="H5" i="16"/>
  <c r="A5" i="16" s="1"/>
  <c r="G6" i="16"/>
  <c r="H6" i="16"/>
  <c r="A6" i="16" s="1"/>
  <c r="G7" i="16"/>
  <c r="H7" i="16"/>
  <c r="A7" i="16" s="1"/>
  <c r="G8" i="16"/>
  <c r="H8" i="16"/>
  <c r="A8" i="16" s="1"/>
  <c r="G9" i="16"/>
  <c r="H9" i="16"/>
  <c r="A9" i="16" s="1"/>
  <c r="G10" i="16"/>
  <c r="H10" i="16"/>
  <c r="A10" i="16" s="1"/>
  <c r="G11" i="16"/>
  <c r="H11" i="16"/>
  <c r="A11" i="16" s="1"/>
  <c r="H15" i="16"/>
  <c r="H16" i="16"/>
  <c r="H17" i="16"/>
  <c r="H18" i="16"/>
  <c r="H19" i="16"/>
  <c r="H20" i="16"/>
  <c r="H21" i="16"/>
  <c r="H22" i="16"/>
  <c r="H23" i="16"/>
  <c r="G2" i="16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D2" i="1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1" i="3"/>
  <c r="D32" i="3"/>
  <c r="D33" i="3"/>
  <c r="D34" i="3"/>
  <c r="D35" i="3"/>
  <c r="D36" i="3"/>
  <c r="D2" i="3"/>
  <c r="M69" i="14"/>
  <c r="M54" i="13"/>
  <c r="G54" i="13"/>
  <c r="M66" i="11"/>
  <c r="H66" i="11"/>
  <c r="G66" i="11"/>
  <c r="M41" i="9"/>
  <c r="H41" i="9"/>
  <c r="G41" i="9"/>
  <c r="M38" i="3"/>
  <c r="G38" i="3"/>
  <c r="H38" i="3"/>
  <c r="H36" i="2"/>
  <c r="G36" i="2"/>
  <c r="M36" i="2"/>
  <c r="M34" i="8"/>
  <c r="H34" i="8"/>
  <c r="G34" i="8"/>
  <c r="D32" i="8"/>
  <c r="D31" i="8"/>
  <c r="D30" i="8"/>
  <c r="D28" i="8"/>
  <c r="D26" i="8"/>
  <c r="D24" i="8"/>
  <c r="D21" i="8"/>
  <c r="D19" i="8"/>
  <c r="D18" i="8"/>
  <c r="D17" i="8"/>
  <c r="D16" i="8"/>
  <c r="D15" i="8"/>
  <c r="D14" i="8"/>
  <c r="D13" i="8"/>
  <c r="D11" i="8"/>
  <c r="D10" i="8"/>
  <c r="D9" i="8"/>
  <c r="D8" i="8"/>
  <c r="D7" i="8"/>
  <c r="D5" i="8"/>
  <c r="D4" i="8"/>
  <c r="D3" i="8"/>
  <c r="D3" i="9"/>
  <c r="D4" i="9"/>
  <c r="D5" i="9"/>
  <c r="D7" i="9"/>
  <c r="D8" i="9"/>
  <c r="D9" i="9"/>
  <c r="D10" i="9"/>
  <c r="D11" i="9"/>
  <c r="D13" i="9"/>
  <c r="D14" i="9"/>
  <c r="D15" i="9"/>
  <c r="D16" i="9"/>
  <c r="D17" i="9"/>
  <c r="D18" i="9"/>
  <c r="D19" i="9"/>
  <c r="D21" i="9"/>
  <c r="D24" i="9"/>
  <c r="D26" i="9"/>
  <c r="D28" i="9"/>
  <c r="D30" i="9"/>
  <c r="D31" i="9"/>
  <c r="D32" i="9"/>
  <c r="D34" i="9"/>
  <c r="D37" i="9"/>
  <c r="D38" i="9"/>
  <c r="D39" i="9"/>
  <c r="H54" i="13"/>
  <c r="J39" i="13"/>
  <c r="N39" i="13" s="1"/>
  <c r="K39" i="13"/>
  <c r="S39" i="13" s="1"/>
  <c r="O39" i="13"/>
  <c r="Q39" i="13"/>
  <c r="E21" i="7"/>
  <c r="E20" i="7"/>
  <c r="E18" i="7"/>
  <c r="E22" i="7"/>
  <c r="E19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18" i="7" s="1"/>
  <c r="O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D3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E5" i="7"/>
  <c r="D44" i="11"/>
  <c r="D17" i="11"/>
  <c r="Q11" i="13"/>
  <c r="Q12" i="13"/>
  <c r="O11" i="13"/>
  <c r="J11" i="13"/>
  <c r="N11" i="13" s="1"/>
  <c r="K11" i="13"/>
  <c r="S11" i="13" s="1"/>
  <c r="D11" i="13"/>
  <c r="J25" i="13"/>
  <c r="N25" i="13" s="1"/>
  <c r="D3" i="13"/>
  <c r="D51" i="13" s="1"/>
  <c r="D4" i="13"/>
  <c r="D5" i="13"/>
  <c r="D7" i="13"/>
  <c r="D8" i="13"/>
  <c r="D9" i="13"/>
  <c r="D10" i="13"/>
  <c r="D12" i="13"/>
  <c r="D13" i="13"/>
  <c r="D14" i="13"/>
  <c r="D15" i="13"/>
  <c r="D16" i="13"/>
  <c r="D17" i="13"/>
  <c r="D18" i="13"/>
  <c r="D20" i="13"/>
  <c r="D21" i="13"/>
  <c r="D22" i="13"/>
  <c r="D24" i="13"/>
  <c r="D25" i="13"/>
  <c r="D26" i="13"/>
  <c r="D27" i="13"/>
  <c r="D28" i="13"/>
  <c r="D30" i="13"/>
  <c r="D31" i="13"/>
  <c r="D33" i="13"/>
  <c r="D34" i="13"/>
  <c r="D36" i="13"/>
  <c r="D38" i="13"/>
  <c r="D50" i="13"/>
  <c r="D2" i="11"/>
  <c r="D19" i="11"/>
  <c r="D18" i="11"/>
  <c r="D5" i="11"/>
  <c r="D7" i="11"/>
  <c r="D8" i="11"/>
  <c r="D9" i="11"/>
  <c r="D10" i="11"/>
  <c r="D11" i="11"/>
  <c r="D13" i="11"/>
  <c r="D14" i="11"/>
  <c r="D15" i="11"/>
  <c r="D16" i="11"/>
  <c r="D21" i="11"/>
  <c r="D24" i="11"/>
  <c r="D26" i="11"/>
  <c r="D28" i="11"/>
  <c r="D30" i="11"/>
  <c r="D31" i="11"/>
  <c r="D32" i="11"/>
  <c r="D34" i="11"/>
  <c r="D62" i="11" s="1"/>
  <c r="D37" i="11"/>
  <c r="D38" i="11"/>
  <c r="D39" i="11"/>
  <c r="D40" i="11"/>
  <c r="D41" i="11"/>
  <c r="D42" i="11"/>
  <c r="D45" i="11"/>
  <c r="D46" i="11"/>
  <c r="D47" i="11"/>
  <c r="D48" i="11"/>
  <c r="D50" i="11"/>
  <c r="D51" i="11"/>
  <c r="D52" i="11"/>
  <c r="D3" i="11"/>
  <c r="D4" i="11"/>
  <c r="D61" i="11" s="1"/>
  <c r="D44" i="13"/>
  <c r="J14" i="11"/>
  <c r="R14" i="11" s="1"/>
  <c r="K14" i="11"/>
  <c r="S14" i="11" s="1"/>
  <c r="O14" i="11"/>
  <c r="Q14" i="11"/>
  <c r="I69" i="14"/>
  <c r="H69" i="14"/>
  <c r="G69" i="14"/>
  <c r="Q49" i="14"/>
  <c r="O49" i="14"/>
  <c r="K49" i="14"/>
  <c r="S49" i="14" s="1"/>
  <c r="J49" i="14"/>
  <c r="R49" i="14" s="1"/>
  <c r="Q48" i="14"/>
  <c r="O48" i="14"/>
  <c r="K48" i="14"/>
  <c r="S48" i="14" s="1"/>
  <c r="J48" i="14"/>
  <c r="N48" i="14" s="1"/>
  <c r="Q47" i="14"/>
  <c r="O47" i="14"/>
  <c r="K47" i="14"/>
  <c r="S47" i="14" s="1"/>
  <c r="J47" i="14"/>
  <c r="R47" i="14" s="1"/>
  <c r="Q46" i="14"/>
  <c r="O46" i="14"/>
  <c r="K46" i="14"/>
  <c r="S46" i="14" s="1"/>
  <c r="J46" i="14"/>
  <c r="N46" i="14" s="1"/>
  <c r="Q45" i="14"/>
  <c r="O45" i="14"/>
  <c r="K45" i="14"/>
  <c r="S45" i="14" s="1"/>
  <c r="J45" i="14"/>
  <c r="N45" i="14" s="1"/>
  <c r="Q44" i="14"/>
  <c r="O44" i="14"/>
  <c r="K44" i="14"/>
  <c r="S44" i="14" s="1"/>
  <c r="J44" i="14"/>
  <c r="N44" i="14" s="1"/>
  <c r="Q43" i="14"/>
  <c r="O43" i="14"/>
  <c r="K43" i="14"/>
  <c r="S43" i="14" s="1"/>
  <c r="J43" i="14"/>
  <c r="R43" i="14" s="1"/>
  <c r="Q42" i="14"/>
  <c r="O42" i="14"/>
  <c r="K42" i="14"/>
  <c r="S42" i="14" s="1"/>
  <c r="J42" i="14"/>
  <c r="N42" i="14" s="1"/>
  <c r="Q41" i="14"/>
  <c r="O41" i="14"/>
  <c r="K41" i="14"/>
  <c r="S41" i="14" s="1"/>
  <c r="J41" i="14"/>
  <c r="R41" i="14" s="1"/>
  <c r="Q40" i="14"/>
  <c r="O40" i="14"/>
  <c r="K40" i="14"/>
  <c r="S40" i="14" s="1"/>
  <c r="J40" i="14"/>
  <c r="N40" i="14" s="1"/>
  <c r="Q39" i="14"/>
  <c r="O39" i="14"/>
  <c r="K39" i="14"/>
  <c r="S39" i="14" s="1"/>
  <c r="J39" i="14"/>
  <c r="R39" i="14" s="1"/>
  <c r="Q38" i="14"/>
  <c r="O38" i="14"/>
  <c r="K38" i="14"/>
  <c r="S38" i="14" s="1"/>
  <c r="J38" i="14"/>
  <c r="N38" i="14" s="1"/>
  <c r="Q37" i="14"/>
  <c r="O37" i="14"/>
  <c r="K37" i="14"/>
  <c r="S37" i="14" s="1"/>
  <c r="J37" i="14"/>
  <c r="R37" i="14" s="1"/>
  <c r="Q36" i="14"/>
  <c r="O36" i="14"/>
  <c r="K36" i="14"/>
  <c r="S36" i="14" s="1"/>
  <c r="J36" i="14"/>
  <c r="N36" i="14" s="1"/>
  <c r="Q35" i="14"/>
  <c r="O35" i="14"/>
  <c r="K35" i="14"/>
  <c r="S35" i="14" s="1"/>
  <c r="J35" i="14"/>
  <c r="R35" i="14" s="1"/>
  <c r="R34" i="14"/>
  <c r="Q34" i="14"/>
  <c r="O34" i="14"/>
  <c r="N34" i="14"/>
  <c r="K34" i="14"/>
  <c r="S34" i="14" s="1"/>
  <c r="R33" i="14"/>
  <c r="Q33" i="14"/>
  <c r="O33" i="14"/>
  <c r="N33" i="14"/>
  <c r="K33" i="14"/>
  <c r="S33" i="14" s="1"/>
  <c r="R32" i="14"/>
  <c r="Q32" i="14"/>
  <c r="O32" i="14"/>
  <c r="N32" i="14"/>
  <c r="K32" i="14"/>
  <c r="S32" i="14" s="1"/>
  <c r="R31" i="14"/>
  <c r="Q31" i="14"/>
  <c r="O31" i="14"/>
  <c r="N31" i="14"/>
  <c r="K31" i="14"/>
  <c r="S31" i="14" s="1"/>
  <c r="Q30" i="14"/>
  <c r="O30" i="14"/>
  <c r="K30" i="14"/>
  <c r="S30" i="14" s="1"/>
  <c r="J30" i="14"/>
  <c r="R30" i="14" s="1"/>
  <c r="Q29" i="14"/>
  <c r="O29" i="14"/>
  <c r="K29" i="14"/>
  <c r="S29" i="14" s="1"/>
  <c r="J29" i="14"/>
  <c r="Q28" i="14"/>
  <c r="O28" i="14"/>
  <c r="K28" i="14"/>
  <c r="S28" i="14" s="1"/>
  <c r="J28" i="14"/>
  <c r="R28" i="14" s="1"/>
  <c r="Q27" i="14"/>
  <c r="O27" i="14"/>
  <c r="K27" i="14"/>
  <c r="S27" i="14" s="1"/>
  <c r="J27" i="14"/>
  <c r="Q26" i="14"/>
  <c r="O26" i="14"/>
  <c r="K26" i="14"/>
  <c r="S26" i="14" s="1"/>
  <c r="J26" i="14"/>
  <c r="N26" i="14" s="1"/>
  <c r="S25" i="14"/>
  <c r="R25" i="14"/>
  <c r="Q25" i="14"/>
  <c r="O25" i="14"/>
  <c r="N25" i="14"/>
  <c r="S24" i="14"/>
  <c r="R24" i="14"/>
  <c r="Q24" i="14"/>
  <c r="O24" i="14"/>
  <c r="N24" i="14"/>
  <c r="Q23" i="14"/>
  <c r="O23" i="14"/>
  <c r="K23" i="14"/>
  <c r="S23" i="14" s="1"/>
  <c r="J23" i="14"/>
  <c r="N23" i="14" s="1"/>
  <c r="Q22" i="14"/>
  <c r="O22" i="14"/>
  <c r="K22" i="14"/>
  <c r="S22" i="14" s="1"/>
  <c r="J22" i="14"/>
  <c r="R22" i="14" s="1"/>
  <c r="Q21" i="14"/>
  <c r="O21" i="14"/>
  <c r="K21" i="14"/>
  <c r="S21" i="14" s="1"/>
  <c r="J21" i="14"/>
  <c r="N21" i="14" s="1"/>
  <c r="S20" i="14"/>
  <c r="Q20" i="14"/>
  <c r="O20" i="14"/>
  <c r="J20" i="14"/>
  <c r="R20" i="14" s="1"/>
  <c r="Q19" i="14"/>
  <c r="O19" i="14"/>
  <c r="K19" i="14"/>
  <c r="S19" i="14" s="1"/>
  <c r="J19" i="14"/>
  <c r="Q18" i="14"/>
  <c r="K18" i="14"/>
  <c r="S18" i="14" s="1"/>
  <c r="J18" i="14"/>
  <c r="R18" i="14" s="1"/>
  <c r="Q17" i="14"/>
  <c r="O17" i="14"/>
  <c r="K17" i="14"/>
  <c r="S17" i="14" s="1"/>
  <c r="J17" i="14"/>
  <c r="R17" i="14" s="1"/>
  <c r="Q16" i="14"/>
  <c r="O16" i="14"/>
  <c r="K16" i="14"/>
  <c r="S16" i="14" s="1"/>
  <c r="J16" i="14"/>
  <c r="Q15" i="14"/>
  <c r="O15" i="14"/>
  <c r="K15" i="14"/>
  <c r="S15" i="14" s="1"/>
  <c r="J15" i="14"/>
  <c r="R15" i="14" s="1"/>
  <c r="Q14" i="14"/>
  <c r="O14" i="14"/>
  <c r="K14" i="14"/>
  <c r="S14" i="14" s="1"/>
  <c r="J14" i="14"/>
  <c r="Q13" i="14"/>
  <c r="O13" i="14"/>
  <c r="K13" i="14"/>
  <c r="S13" i="14" s="1"/>
  <c r="J13" i="14"/>
  <c r="N13" i="14" s="1"/>
  <c r="Q12" i="14"/>
  <c r="O12" i="14"/>
  <c r="K12" i="14"/>
  <c r="S12" i="14" s="1"/>
  <c r="J12" i="14"/>
  <c r="Q11" i="14"/>
  <c r="O11" i="14"/>
  <c r="K11" i="14"/>
  <c r="S11" i="14" s="1"/>
  <c r="J11" i="14"/>
  <c r="R11" i="14" s="1"/>
  <c r="Q10" i="14"/>
  <c r="O10" i="14"/>
  <c r="K10" i="14"/>
  <c r="S10" i="14" s="1"/>
  <c r="J10" i="14"/>
  <c r="Q9" i="14"/>
  <c r="O9" i="14"/>
  <c r="K9" i="14"/>
  <c r="S9" i="14" s="1"/>
  <c r="J9" i="14"/>
  <c r="R9" i="14" s="1"/>
  <c r="Q8" i="14"/>
  <c r="O8" i="14"/>
  <c r="K8" i="14"/>
  <c r="S8" i="14" s="1"/>
  <c r="J8" i="14"/>
  <c r="Q7" i="14"/>
  <c r="O7" i="14"/>
  <c r="K7" i="14"/>
  <c r="S7" i="14" s="1"/>
  <c r="J7" i="14"/>
  <c r="R7" i="14" s="1"/>
  <c r="Q6" i="14"/>
  <c r="O6" i="14"/>
  <c r="K6" i="14"/>
  <c r="S6" i="14" s="1"/>
  <c r="J6" i="14"/>
  <c r="Q5" i="14"/>
  <c r="O5" i="14"/>
  <c r="K5" i="14"/>
  <c r="S5" i="14" s="1"/>
  <c r="J5" i="14"/>
  <c r="R5" i="14" s="1"/>
  <c r="Q4" i="14"/>
  <c r="O4" i="14"/>
  <c r="K4" i="14"/>
  <c r="S4" i="14" s="1"/>
  <c r="J4" i="14"/>
  <c r="Q3" i="14"/>
  <c r="O3" i="14"/>
  <c r="K3" i="14"/>
  <c r="S3" i="14" s="1"/>
  <c r="J3" i="14"/>
  <c r="N3" i="14" s="1"/>
  <c r="Q2" i="14"/>
  <c r="O2" i="14"/>
  <c r="K2" i="14"/>
  <c r="S2" i="14" s="1"/>
  <c r="J2" i="14"/>
  <c r="S25" i="13"/>
  <c r="S26" i="13"/>
  <c r="R26" i="13"/>
  <c r="Q25" i="13"/>
  <c r="Q26" i="13"/>
  <c r="Q27" i="13"/>
  <c r="N26" i="13"/>
  <c r="O26" i="13"/>
  <c r="O25" i="13"/>
  <c r="K35" i="13"/>
  <c r="S35" i="13" s="1"/>
  <c r="N35" i="13"/>
  <c r="O35" i="13"/>
  <c r="Q35" i="13"/>
  <c r="R35" i="13"/>
  <c r="K4" i="16" l="1"/>
  <c r="H2" i="16"/>
  <c r="A2" i="16" s="1"/>
  <c r="D57" i="11"/>
  <c r="N19" i="14"/>
  <c r="R19" i="14"/>
  <c r="D48" i="13"/>
  <c r="R39" i="13"/>
  <c r="D49" i="13"/>
  <c r="R11" i="13"/>
  <c r="D45" i="13"/>
  <c r="D42" i="13"/>
  <c r="X18" i="7"/>
  <c r="AD18" i="7"/>
  <c r="R18" i="7"/>
  <c r="D47" i="13"/>
  <c r="D60" i="11"/>
  <c r="R44" i="14"/>
  <c r="R25" i="13"/>
  <c r="N14" i="11"/>
  <c r="R3" i="14"/>
  <c r="R13" i="14"/>
  <c r="R36" i="14"/>
  <c r="R42" i="14"/>
  <c r="N11" i="14"/>
  <c r="R23" i="14"/>
  <c r="R40" i="14"/>
  <c r="N43" i="14"/>
  <c r="R45" i="14"/>
  <c r="R26" i="14"/>
  <c r="R48" i="14"/>
  <c r="R21" i="14"/>
  <c r="R38" i="14"/>
  <c r="R46" i="14"/>
  <c r="R16" i="14"/>
  <c r="N16" i="14"/>
  <c r="R6" i="14"/>
  <c r="N6" i="14"/>
  <c r="R29" i="14"/>
  <c r="N29" i="14"/>
  <c r="N41" i="14"/>
  <c r="R14" i="14"/>
  <c r="N14" i="14"/>
  <c r="R4" i="14"/>
  <c r="N4" i="14"/>
  <c r="N9" i="14"/>
  <c r="R27" i="14"/>
  <c r="N27" i="14"/>
  <c r="N39" i="14"/>
  <c r="R12" i="14"/>
  <c r="N12" i="14"/>
  <c r="N17" i="14"/>
  <c r="N22" i="14"/>
  <c r="N37" i="14"/>
  <c r="R2" i="14"/>
  <c r="N2" i="14"/>
  <c r="N7" i="14"/>
  <c r="N30" i="14"/>
  <c r="S69" i="14"/>
  <c r="N20" i="14"/>
  <c r="N35" i="14"/>
  <c r="N49" i="14"/>
  <c r="O69" i="14"/>
  <c r="O71" i="14" s="1"/>
  <c r="R10" i="14"/>
  <c r="N10" i="14"/>
  <c r="N15" i="14"/>
  <c r="Q69" i="14"/>
  <c r="N5" i="14"/>
  <c r="N28" i="14"/>
  <c r="N47" i="14"/>
  <c r="J69" i="14"/>
  <c r="K69" i="14"/>
  <c r="R8" i="14"/>
  <c r="N8" i="14"/>
  <c r="Q23" i="13"/>
  <c r="O23" i="13"/>
  <c r="J23" i="13"/>
  <c r="R23" i="13" s="1"/>
  <c r="K23" i="13"/>
  <c r="S23" i="13" s="1"/>
  <c r="N69" i="14" l="1"/>
  <c r="R69" i="14"/>
  <c r="N23" i="13"/>
  <c r="E12" i="7" l="1"/>
  <c r="E13" i="7"/>
  <c r="E14" i="7"/>
  <c r="E15" i="7"/>
  <c r="E16" i="7"/>
  <c r="E17" i="7"/>
  <c r="E4" i="7"/>
  <c r="E6" i="7"/>
  <c r="E7" i="7"/>
  <c r="E8" i="7"/>
  <c r="E9" i="7"/>
  <c r="E10" i="7"/>
  <c r="E11" i="7"/>
  <c r="E3" i="7"/>
  <c r="Q43" i="11"/>
  <c r="Q35" i="11"/>
  <c r="J7" i="13" l="1"/>
  <c r="N7" i="13" s="1"/>
  <c r="I53" i="13"/>
  <c r="H53" i="13"/>
  <c r="G53" i="13"/>
  <c r="Q38" i="13"/>
  <c r="O38" i="13"/>
  <c r="K38" i="13"/>
  <c r="S38" i="13" s="1"/>
  <c r="J38" i="13"/>
  <c r="N38" i="13" s="1"/>
  <c r="Q37" i="13"/>
  <c r="O37" i="13"/>
  <c r="K37" i="13"/>
  <c r="S37" i="13" s="1"/>
  <c r="J37" i="13"/>
  <c r="N37" i="13" s="1"/>
  <c r="Q36" i="13"/>
  <c r="O36" i="13"/>
  <c r="K36" i="13"/>
  <c r="S36" i="13" s="1"/>
  <c r="J36" i="13"/>
  <c r="R36" i="13" s="1"/>
  <c r="Q34" i="13"/>
  <c r="O34" i="13"/>
  <c r="K34" i="13"/>
  <c r="S34" i="13" s="1"/>
  <c r="R34" i="13"/>
  <c r="R33" i="13"/>
  <c r="Q33" i="13"/>
  <c r="O33" i="13"/>
  <c r="N33" i="13"/>
  <c r="K33" i="13"/>
  <c r="S33" i="13" s="1"/>
  <c r="R32" i="13"/>
  <c r="Q32" i="13"/>
  <c r="O32" i="13"/>
  <c r="N32" i="13"/>
  <c r="K32" i="13"/>
  <c r="S32" i="13" s="1"/>
  <c r="Q31" i="13"/>
  <c r="O31" i="13"/>
  <c r="K31" i="13"/>
  <c r="S31" i="13" s="1"/>
  <c r="J31" i="13"/>
  <c r="N31" i="13" s="1"/>
  <c r="Q30" i="13"/>
  <c r="O30" i="13"/>
  <c r="K30" i="13"/>
  <c r="S30" i="13" s="1"/>
  <c r="J30" i="13"/>
  <c r="R30" i="13" s="1"/>
  <c r="Q29" i="13"/>
  <c r="O29" i="13"/>
  <c r="K29" i="13"/>
  <c r="S29" i="13" s="1"/>
  <c r="J29" i="13"/>
  <c r="N29" i="13" s="1"/>
  <c r="Q28" i="13"/>
  <c r="O28" i="13"/>
  <c r="K28" i="13"/>
  <c r="S28" i="13" s="1"/>
  <c r="J28" i="13"/>
  <c r="R28" i="13" s="1"/>
  <c r="O27" i="13"/>
  <c r="K27" i="13"/>
  <c r="S27" i="13" s="1"/>
  <c r="J27" i="13"/>
  <c r="Q24" i="13"/>
  <c r="O24" i="13"/>
  <c r="K24" i="13"/>
  <c r="S24" i="13" s="1"/>
  <c r="J24" i="13"/>
  <c r="R24" i="13" s="1"/>
  <c r="Q22" i="13"/>
  <c r="O22" i="13"/>
  <c r="K22" i="13"/>
  <c r="S22" i="13" s="1"/>
  <c r="J22" i="13"/>
  <c r="N22" i="13" s="1"/>
  <c r="Q21" i="13"/>
  <c r="O21" i="13"/>
  <c r="S21" i="13"/>
  <c r="J21" i="13"/>
  <c r="R21" i="13" s="1"/>
  <c r="Q20" i="13"/>
  <c r="O20" i="13"/>
  <c r="K20" i="13"/>
  <c r="S20" i="13" s="1"/>
  <c r="J20" i="13"/>
  <c r="N20" i="13" s="1"/>
  <c r="Q19" i="13"/>
  <c r="K19" i="13"/>
  <c r="S19" i="13" s="1"/>
  <c r="J19" i="13"/>
  <c r="R19" i="13" s="1"/>
  <c r="Q18" i="13"/>
  <c r="O18" i="13"/>
  <c r="K18" i="13"/>
  <c r="S18" i="13" s="1"/>
  <c r="J18" i="13"/>
  <c r="N18" i="13" s="1"/>
  <c r="Q17" i="13"/>
  <c r="O17" i="13"/>
  <c r="K17" i="13"/>
  <c r="S17" i="13" s="1"/>
  <c r="J17" i="13"/>
  <c r="R17" i="13" s="1"/>
  <c r="Q16" i="13"/>
  <c r="O16" i="13"/>
  <c r="K16" i="13"/>
  <c r="S16" i="13" s="1"/>
  <c r="J16" i="13"/>
  <c r="N16" i="13" s="1"/>
  <c r="Q15" i="13"/>
  <c r="O15" i="13"/>
  <c r="K15" i="13"/>
  <c r="S15" i="13" s="1"/>
  <c r="J15" i="13"/>
  <c r="R15" i="13" s="1"/>
  <c r="Q14" i="13"/>
  <c r="O14" i="13"/>
  <c r="K14" i="13"/>
  <c r="S14" i="13" s="1"/>
  <c r="J14" i="13"/>
  <c r="N14" i="13" s="1"/>
  <c r="Q13" i="13"/>
  <c r="O13" i="13"/>
  <c r="K13" i="13"/>
  <c r="S13" i="13" s="1"/>
  <c r="J13" i="13"/>
  <c r="R13" i="13" s="1"/>
  <c r="O12" i="13"/>
  <c r="K12" i="13"/>
  <c r="S12" i="13" s="1"/>
  <c r="J12" i="13"/>
  <c r="Q10" i="13"/>
  <c r="O10" i="13"/>
  <c r="K10" i="13"/>
  <c r="S10" i="13" s="1"/>
  <c r="J10" i="13"/>
  <c r="R10" i="13" s="1"/>
  <c r="Q9" i="13"/>
  <c r="O9" i="13"/>
  <c r="K9" i="13"/>
  <c r="S9" i="13" s="1"/>
  <c r="J9" i="13"/>
  <c r="N9" i="13" s="1"/>
  <c r="Q8" i="13"/>
  <c r="O8" i="13"/>
  <c r="K8" i="13"/>
  <c r="S8" i="13" s="1"/>
  <c r="J8" i="13"/>
  <c r="R8" i="13" s="1"/>
  <c r="R7" i="13"/>
  <c r="Q7" i="13"/>
  <c r="O7" i="13"/>
  <c r="K7" i="13"/>
  <c r="S7" i="13" s="1"/>
  <c r="Q6" i="13"/>
  <c r="O6" i="13"/>
  <c r="K6" i="13"/>
  <c r="S6" i="13" s="1"/>
  <c r="J6" i="13"/>
  <c r="N6" i="13" s="1"/>
  <c r="Q5" i="13"/>
  <c r="O5" i="13"/>
  <c r="K5" i="13"/>
  <c r="S5" i="13" s="1"/>
  <c r="J5" i="13"/>
  <c r="N5" i="13" s="1"/>
  <c r="Q4" i="13"/>
  <c r="O4" i="13"/>
  <c r="K4" i="13"/>
  <c r="S4" i="13" s="1"/>
  <c r="J4" i="13"/>
  <c r="N4" i="13" s="1"/>
  <c r="Q3" i="13"/>
  <c r="O3" i="13"/>
  <c r="K3" i="13"/>
  <c r="S3" i="13" s="1"/>
  <c r="J3" i="13"/>
  <c r="N3" i="13" s="1"/>
  <c r="Q2" i="13"/>
  <c r="Q54" i="13" s="1"/>
  <c r="O2" i="13"/>
  <c r="K2" i="13"/>
  <c r="S2" i="13" s="1"/>
  <c r="J2" i="13"/>
  <c r="N2" i="13" s="1"/>
  <c r="O39" i="11"/>
  <c r="N12" i="13" l="1"/>
  <c r="R12" i="13"/>
  <c r="N27" i="13"/>
  <c r="R27" i="13"/>
  <c r="R31" i="13"/>
  <c r="R9" i="13"/>
  <c r="R20" i="13"/>
  <c r="R18" i="13"/>
  <c r="R4" i="13"/>
  <c r="R2" i="13"/>
  <c r="O53" i="13"/>
  <c r="O54" i="13" s="1"/>
  <c r="Q53" i="13"/>
  <c r="K53" i="13"/>
  <c r="N36" i="13"/>
  <c r="R38" i="13"/>
  <c r="R3" i="13"/>
  <c r="R14" i="13"/>
  <c r="R22" i="13"/>
  <c r="R6" i="13"/>
  <c r="J53" i="13"/>
  <c r="R29" i="13"/>
  <c r="R5" i="13"/>
  <c r="R16" i="13"/>
  <c r="S53" i="13"/>
  <c r="N34" i="13"/>
  <c r="N10" i="13"/>
  <c r="N15" i="13"/>
  <c r="N24" i="13"/>
  <c r="N30" i="13"/>
  <c r="R37" i="13"/>
  <c r="N8" i="13"/>
  <c r="N13" i="13"/>
  <c r="N17" i="13"/>
  <c r="N21" i="13"/>
  <c r="N28" i="13"/>
  <c r="N29" i="11"/>
  <c r="O29" i="11"/>
  <c r="O36" i="11"/>
  <c r="Q36" i="11"/>
  <c r="J36" i="11"/>
  <c r="R36" i="11" s="1"/>
  <c r="K36" i="11"/>
  <c r="S36" i="11" s="1"/>
  <c r="N36" i="11" l="1"/>
  <c r="R53" i="13"/>
  <c r="N53" i="13"/>
  <c r="Q20" i="11" l="1"/>
  <c r="O20" i="11"/>
  <c r="J20" i="11"/>
  <c r="R20" i="11" s="1"/>
  <c r="K20" i="11"/>
  <c r="S20" i="11" s="1"/>
  <c r="R29" i="11"/>
  <c r="Q29" i="11"/>
  <c r="K29" i="11"/>
  <c r="S29" i="11" s="1"/>
  <c r="O17" i="11"/>
  <c r="Q8" i="11"/>
  <c r="O8" i="11"/>
  <c r="K8" i="11"/>
  <c r="S8" i="11" s="1"/>
  <c r="J8" i="11"/>
  <c r="R8" i="11" s="1"/>
  <c r="Q3" i="11"/>
  <c r="O3" i="11"/>
  <c r="K3" i="11"/>
  <c r="S3" i="11" s="1"/>
  <c r="J3" i="11"/>
  <c r="R3" i="11" s="1"/>
  <c r="J4" i="11"/>
  <c r="N4" i="11" s="1"/>
  <c r="K4" i="11"/>
  <c r="S4" i="11" s="1"/>
  <c r="O4" i="11"/>
  <c r="Q4" i="11"/>
  <c r="J5" i="11"/>
  <c r="N5" i="11" s="1"/>
  <c r="K5" i="11"/>
  <c r="S5" i="11" s="1"/>
  <c r="O5" i="11"/>
  <c r="Q5" i="11"/>
  <c r="J6" i="11"/>
  <c r="N6" i="11" s="1"/>
  <c r="K6" i="11"/>
  <c r="S6" i="11" s="1"/>
  <c r="O6" i="11"/>
  <c r="Q6" i="11"/>
  <c r="N7" i="11"/>
  <c r="K7" i="11"/>
  <c r="S7" i="11" s="1"/>
  <c r="O7" i="11"/>
  <c r="Q7" i="11"/>
  <c r="J9" i="11"/>
  <c r="N9" i="11" s="1"/>
  <c r="K9" i="11"/>
  <c r="S9" i="11" s="1"/>
  <c r="O9" i="11"/>
  <c r="Q9" i="11"/>
  <c r="J10" i="11"/>
  <c r="N10" i="11" s="1"/>
  <c r="K10" i="11"/>
  <c r="S10" i="11" s="1"/>
  <c r="O10" i="11"/>
  <c r="Q10" i="11"/>
  <c r="J11" i="11"/>
  <c r="N11" i="11" s="1"/>
  <c r="K11" i="11"/>
  <c r="S11" i="11" s="1"/>
  <c r="O11" i="11"/>
  <c r="Q11" i="11"/>
  <c r="J12" i="11"/>
  <c r="R12" i="11" s="1"/>
  <c r="K12" i="11"/>
  <c r="S12" i="11" s="1"/>
  <c r="O12" i="11"/>
  <c r="Q12" i="11"/>
  <c r="J13" i="11"/>
  <c r="R13" i="11" s="1"/>
  <c r="K13" i="11"/>
  <c r="S13" i="11" s="1"/>
  <c r="O13" i="11"/>
  <c r="Q13" i="11"/>
  <c r="J15" i="11"/>
  <c r="R15" i="11" s="1"/>
  <c r="K15" i="11"/>
  <c r="S15" i="11" s="1"/>
  <c r="O15" i="11"/>
  <c r="Q15" i="11"/>
  <c r="J16" i="11"/>
  <c r="N16" i="11" s="1"/>
  <c r="K16" i="11"/>
  <c r="S16" i="11" s="1"/>
  <c r="O16" i="11"/>
  <c r="Q16" i="11"/>
  <c r="J17" i="11"/>
  <c r="N17" i="11" s="1"/>
  <c r="K17" i="11"/>
  <c r="S17" i="11" s="1"/>
  <c r="Q17" i="11"/>
  <c r="J18" i="11"/>
  <c r="R18" i="11" s="1"/>
  <c r="K18" i="11"/>
  <c r="S18" i="11" s="1"/>
  <c r="O18" i="11"/>
  <c r="Q18" i="11"/>
  <c r="J19" i="11"/>
  <c r="N19" i="11" s="1"/>
  <c r="K19" i="11"/>
  <c r="S19" i="11" s="1"/>
  <c r="O19" i="11"/>
  <c r="Q19" i="11"/>
  <c r="J21" i="11"/>
  <c r="N21" i="11" s="1"/>
  <c r="K21" i="11"/>
  <c r="S21" i="11" s="1"/>
  <c r="O21" i="11"/>
  <c r="Q21" i="11"/>
  <c r="J22" i="11"/>
  <c r="R22" i="11" s="1"/>
  <c r="K22" i="11"/>
  <c r="S22" i="11" s="1"/>
  <c r="O22" i="11"/>
  <c r="Q22" i="11"/>
  <c r="J23" i="11"/>
  <c r="R23" i="11" s="1"/>
  <c r="K23" i="11"/>
  <c r="S23" i="11" s="1"/>
  <c r="O23" i="11"/>
  <c r="Q23" i="11"/>
  <c r="J24" i="11"/>
  <c r="R24" i="11" s="1"/>
  <c r="K24" i="11"/>
  <c r="S24" i="11" s="1"/>
  <c r="O24" i="11"/>
  <c r="Q24" i="11"/>
  <c r="J25" i="11"/>
  <c r="N25" i="11" s="1"/>
  <c r="K25" i="11"/>
  <c r="S25" i="11" s="1"/>
  <c r="O25" i="11"/>
  <c r="Q25" i="11"/>
  <c r="J26" i="11"/>
  <c r="N26" i="11" s="1"/>
  <c r="K26" i="11"/>
  <c r="S26" i="11" s="1"/>
  <c r="O26" i="11"/>
  <c r="Q26" i="11"/>
  <c r="J27" i="11"/>
  <c r="N27" i="11" s="1"/>
  <c r="K27" i="11"/>
  <c r="S27" i="11" s="1"/>
  <c r="O27" i="11"/>
  <c r="Q27" i="11"/>
  <c r="J28" i="11"/>
  <c r="N28" i="11" s="1"/>
  <c r="K28" i="11"/>
  <c r="S28" i="11" s="1"/>
  <c r="O28" i="11"/>
  <c r="Q28" i="11"/>
  <c r="N30" i="11"/>
  <c r="K30" i="11"/>
  <c r="S30" i="11" s="1"/>
  <c r="O30" i="11"/>
  <c r="Q30" i="11"/>
  <c r="J31" i="11"/>
  <c r="R31" i="11" s="1"/>
  <c r="K31" i="11"/>
  <c r="S31" i="11" s="1"/>
  <c r="O31" i="11"/>
  <c r="Q31" i="11"/>
  <c r="J32" i="11"/>
  <c r="R32" i="11" s="1"/>
  <c r="K32" i="11"/>
  <c r="S32" i="11" s="1"/>
  <c r="O32" i="11"/>
  <c r="Q32" i="11"/>
  <c r="J33" i="11"/>
  <c r="R33" i="11" s="1"/>
  <c r="K33" i="11"/>
  <c r="S33" i="11" s="1"/>
  <c r="O33" i="11"/>
  <c r="Q33" i="11"/>
  <c r="J34" i="11"/>
  <c r="N34" i="11" s="1"/>
  <c r="K34" i="11"/>
  <c r="S34" i="11" s="1"/>
  <c r="O34" i="11"/>
  <c r="Q34" i="11"/>
  <c r="J35" i="11"/>
  <c r="N35" i="11" s="1"/>
  <c r="K35" i="11"/>
  <c r="S35" i="11" s="1"/>
  <c r="O35" i="11"/>
  <c r="J37" i="11"/>
  <c r="N37" i="11" s="1"/>
  <c r="K37" i="11"/>
  <c r="S37" i="11" s="1"/>
  <c r="O37" i="11"/>
  <c r="Q37" i="11"/>
  <c r="J38" i="11"/>
  <c r="N38" i="11" s="1"/>
  <c r="K38" i="11"/>
  <c r="S38" i="11" s="1"/>
  <c r="O38" i="11"/>
  <c r="Q38" i="11"/>
  <c r="J39" i="11"/>
  <c r="N39" i="11" s="1"/>
  <c r="K39" i="11"/>
  <c r="Q39" i="11"/>
  <c r="J40" i="11"/>
  <c r="R40" i="11" s="1"/>
  <c r="K40" i="11"/>
  <c r="S40" i="11" s="1"/>
  <c r="O40" i="11"/>
  <c r="Q40" i="11"/>
  <c r="J41" i="11"/>
  <c r="R41" i="11" s="1"/>
  <c r="K41" i="11"/>
  <c r="S41" i="11" s="1"/>
  <c r="O41" i="11"/>
  <c r="Q41" i="11"/>
  <c r="J42" i="11"/>
  <c r="R42" i="11" s="1"/>
  <c r="K42" i="11"/>
  <c r="S42" i="11" s="1"/>
  <c r="O42" i="11"/>
  <c r="Q42" i="11"/>
  <c r="J43" i="11"/>
  <c r="N43" i="11" s="1"/>
  <c r="K43" i="11"/>
  <c r="S43" i="11" s="1"/>
  <c r="O43" i="11"/>
  <c r="J44" i="11"/>
  <c r="R44" i="11" s="1"/>
  <c r="K44" i="11"/>
  <c r="S44" i="11" s="1"/>
  <c r="O44" i="11"/>
  <c r="Q44" i="11"/>
  <c r="J45" i="11"/>
  <c r="N45" i="11" s="1"/>
  <c r="K45" i="11"/>
  <c r="S45" i="11" s="1"/>
  <c r="O45" i="11"/>
  <c r="Q45" i="11"/>
  <c r="R45" i="11"/>
  <c r="J46" i="11"/>
  <c r="N46" i="11" s="1"/>
  <c r="K46" i="11"/>
  <c r="S46" i="11" s="1"/>
  <c r="O46" i="11"/>
  <c r="Q46" i="11"/>
  <c r="J47" i="11"/>
  <c r="N47" i="11" s="1"/>
  <c r="K47" i="11"/>
  <c r="S47" i="11" s="1"/>
  <c r="O47" i="11"/>
  <c r="Q47" i="11"/>
  <c r="J48" i="11"/>
  <c r="R48" i="11" s="1"/>
  <c r="K48" i="11"/>
  <c r="S48" i="11" s="1"/>
  <c r="O48" i="11"/>
  <c r="Q48" i="11"/>
  <c r="J49" i="11"/>
  <c r="R49" i="11" s="1"/>
  <c r="K49" i="11"/>
  <c r="S49" i="11" s="1"/>
  <c r="O49" i="11"/>
  <c r="Q49" i="11"/>
  <c r="J50" i="11"/>
  <c r="R50" i="11" s="1"/>
  <c r="K50" i="11"/>
  <c r="S50" i="11" s="1"/>
  <c r="O50" i="11"/>
  <c r="Q50" i="11"/>
  <c r="J51" i="11"/>
  <c r="R51" i="11" s="1"/>
  <c r="K51" i="11"/>
  <c r="S51" i="11" s="1"/>
  <c r="O51" i="11"/>
  <c r="Q51" i="11"/>
  <c r="J52" i="11"/>
  <c r="R52" i="11" s="1"/>
  <c r="K52" i="11"/>
  <c r="S52" i="11" s="1"/>
  <c r="O52" i="11"/>
  <c r="Q52" i="11"/>
  <c r="Q2" i="11"/>
  <c r="O2" i="11"/>
  <c r="K2" i="11"/>
  <c r="S2" i="11" s="1"/>
  <c r="J2" i="11"/>
  <c r="R2" i="11" s="1"/>
  <c r="I65" i="11"/>
  <c r="H65" i="11"/>
  <c r="G65" i="11"/>
  <c r="N20" i="11" l="1"/>
  <c r="N44" i="11"/>
  <c r="R27" i="11"/>
  <c r="N8" i="11"/>
  <c r="N52" i="11"/>
  <c r="N18" i="11"/>
  <c r="N48" i="11"/>
  <c r="R37" i="11"/>
  <c r="N42" i="11"/>
  <c r="R35" i="11"/>
  <c r="R16" i="11"/>
  <c r="R25" i="11"/>
  <c r="N22" i="11"/>
  <c r="N12" i="11"/>
  <c r="N40" i="11"/>
  <c r="N31" i="11"/>
  <c r="N3" i="11"/>
  <c r="R17" i="11"/>
  <c r="R26" i="11"/>
  <c r="N13" i="11"/>
  <c r="N49" i="11"/>
  <c r="N41" i="11"/>
  <c r="N51" i="11"/>
  <c r="N24" i="11"/>
  <c r="R43" i="11"/>
  <c r="N32" i="11"/>
  <c r="R7" i="11"/>
  <c r="R9" i="11"/>
  <c r="N15" i="11"/>
  <c r="N33" i="11"/>
  <c r="N50" i="11"/>
  <c r="R34" i="11"/>
  <c r="N23" i="11"/>
  <c r="K65" i="11"/>
  <c r="O65" i="11"/>
  <c r="O66" i="11" s="1"/>
  <c r="Q65" i="11"/>
  <c r="R46" i="11"/>
  <c r="S39" i="11"/>
  <c r="S65" i="11" s="1"/>
  <c r="R38" i="11"/>
  <c r="R28" i="11"/>
  <c r="R19" i="11"/>
  <c r="R10" i="11"/>
  <c r="R47" i="11"/>
  <c r="R39" i="11"/>
  <c r="R30" i="11"/>
  <c r="R21" i="11"/>
  <c r="R11" i="11"/>
  <c r="R4" i="11"/>
  <c r="R5" i="11"/>
  <c r="R6" i="11"/>
  <c r="N2" i="11"/>
  <c r="J65" i="11"/>
  <c r="R65" i="11" l="1"/>
  <c r="N65" i="11"/>
  <c r="Q32" i="9"/>
  <c r="Q34" i="9"/>
  <c r="O34" i="9"/>
  <c r="K34" i="9"/>
  <c r="S34" i="9" s="1"/>
  <c r="J34" i="9"/>
  <c r="R34" i="9" s="1"/>
  <c r="Q33" i="9"/>
  <c r="O33" i="9"/>
  <c r="K33" i="9"/>
  <c r="S33" i="9" s="1"/>
  <c r="J33" i="9"/>
  <c r="R33" i="9" s="1"/>
  <c r="O32" i="9"/>
  <c r="K32" i="9"/>
  <c r="S32" i="9" s="1"/>
  <c r="J32" i="9"/>
  <c r="N32" i="9" s="1"/>
  <c r="N33" i="9" l="1"/>
  <c r="R32" i="9"/>
  <c r="N34" i="9"/>
  <c r="J27" i="9"/>
  <c r="R27" i="9" s="1"/>
  <c r="K27" i="9"/>
  <c r="S27" i="9" s="1"/>
  <c r="O27" i="9"/>
  <c r="Q27" i="9"/>
  <c r="Q37" i="9"/>
  <c r="O37" i="9"/>
  <c r="K37" i="9"/>
  <c r="S37" i="9" s="1"/>
  <c r="J37" i="9"/>
  <c r="R37" i="9" s="1"/>
  <c r="Q36" i="9"/>
  <c r="O36" i="9"/>
  <c r="K36" i="9"/>
  <c r="S36" i="9" s="1"/>
  <c r="J36" i="9"/>
  <c r="R36" i="9" s="1"/>
  <c r="Q35" i="9"/>
  <c r="O35" i="9"/>
  <c r="K35" i="9"/>
  <c r="S35" i="9" s="1"/>
  <c r="J35" i="9"/>
  <c r="R35" i="9" s="1"/>
  <c r="Q31" i="9"/>
  <c r="O31" i="9"/>
  <c r="K31" i="9"/>
  <c r="S31" i="9" s="1"/>
  <c r="J31" i="9"/>
  <c r="R31" i="9" s="1"/>
  <c r="Q30" i="9"/>
  <c r="O30" i="9"/>
  <c r="K30" i="9"/>
  <c r="S30" i="9" s="1"/>
  <c r="J30" i="9"/>
  <c r="R30" i="9" s="1"/>
  <c r="Q29" i="9"/>
  <c r="O29" i="9"/>
  <c r="K29" i="9"/>
  <c r="S29" i="9" s="1"/>
  <c r="J29" i="9"/>
  <c r="R29" i="9" s="1"/>
  <c r="Q28" i="9"/>
  <c r="O28" i="9"/>
  <c r="K28" i="9"/>
  <c r="S28" i="9" s="1"/>
  <c r="J28" i="9"/>
  <c r="R28" i="9" s="1"/>
  <c r="Q26" i="9"/>
  <c r="O26" i="9"/>
  <c r="K26" i="9"/>
  <c r="S26" i="9" s="1"/>
  <c r="J26" i="9"/>
  <c r="R26" i="9" s="1"/>
  <c r="Q25" i="9"/>
  <c r="O25" i="9"/>
  <c r="K25" i="9"/>
  <c r="S25" i="9" s="1"/>
  <c r="J25" i="9"/>
  <c r="N25" i="9" s="1"/>
  <c r="Q24" i="9"/>
  <c r="O24" i="9"/>
  <c r="K24" i="9"/>
  <c r="S24" i="9" s="1"/>
  <c r="J24" i="9"/>
  <c r="N24" i="9" s="1"/>
  <c r="Q23" i="9"/>
  <c r="O23" i="9"/>
  <c r="K23" i="9"/>
  <c r="S23" i="9" s="1"/>
  <c r="J23" i="9"/>
  <c r="N23" i="9" s="1"/>
  <c r="Q22" i="9"/>
  <c r="O22" i="9"/>
  <c r="K22" i="9"/>
  <c r="S22" i="9" s="1"/>
  <c r="J22" i="9"/>
  <c r="R22" i="9" s="1"/>
  <c r="Q21" i="9"/>
  <c r="O21" i="9"/>
  <c r="K21" i="9"/>
  <c r="S21" i="9" s="1"/>
  <c r="J21" i="9"/>
  <c r="N21" i="9" s="1"/>
  <c r="Q20" i="9"/>
  <c r="O20" i="9"/>
  <c r="K20" i="9"/>
  <c r="S20" i="9" s="1"/>
  <c r="J20" i="9"/>
  <c r="R20" i="9" s="1"/>
  <c r="K11" i="9"/>
  <c r="S11" i="9" s="1"/>
  <c r="J11" i="9"/>
  <c r="R11" i="9" s="1"/>
  <c r="O11" i="9"/>
  <c r="Q11" i="9"/>
  <c r="N27" i="9" l="1"/>
  <c r="N31" i="9"/>
  <c r="N35" i="9"/>
  <c r="N26" i="9"/>
  <c r="R24" i="9"/>
  <c r="R23" i="9"/>
  <c r="N22" i="9"/>
  <c r="R25" i="9"/>
  <c r="N30" i="9"/>
  <c r="N20" i="9"/>
  <c r="N29" i="9"/>
  <c r="N37" i="9"/>
  <c r="N28" i="9"/>
  <c r="R21" i="9"/>
  <c r="N36" i="9"/>
  <c r="N11" i="9"/>
  <c r="I40" i="9" l="1"/>
  <c r="H40" i="9"/>
  <c r="G40" i="9"/>
  <c r="J3" i="9"/>
  <c r="N3" i="9" s="1"/>
  <c r="K3" i="9"/>
  <c r="S3" i="9" s="1"/>
  <c r="O3" i="9"/>
  <c r="Q3" i="9"/>
  <c r="J4" i="9"/>
  <c r="R4" i="9" s="1"/>
  <c r="K4" i="9"/>
  <c r="S4" i="9" s="1"/>
  <c r="O4" i="9"/>
  <c r="Q4" i="9"/>
  <c r="J5" i="9"/>
  <c r="N5" i="9" s="1"/>
  <c r="K5" i="9"/>
  <c r="S5" i="9" s="1"/>
  <c r="O5" i="9"/>
  <c r="Q5" i="9"/>
  <c r="J6" i="9"/>
  <c r="N6" i="9" s="1"/>
  <c r="K6" i="9"/>
  <c r="S6" i="9" s="1"/>
  <c r="O6" i="9"/>
  <c r="Q6" i="9"/>
  <c r="J7" i="9"/>
  <c r="N7" i="9" s="1"/>
  <c r="K7" i="9"/>
  <c r="S7" i="9" s="1"/>
  <c r="O7" i="9"/>
  <c r="Q7" i="9"/>
  <c r="J8" i="9"/>
  <c r="R8" i="9" s="1"/>
  <c r="K8" i="9"/>
  <c r="S8" i="9" s="1"/>
  <c r="O8" i="9"/>
  <c r="Q8" i="9"/>
  <c r="J9" i="9"/>
  <c r="R9" i="9" s="1"/>
  <c r="K9" i="9"/>
  <c r="S9" i="9" s="1"/>
  <c r="O9" i="9"/>
  <c r="Q9" i="9"/>
  <c r="J10" i="9"/>
  <c r="N10" i="9" s="1"/>
  <c r="K10" i="9"/>
  <c r="S10" i="9" s="1"/>
  <c r="O10" i="9"/>
  <c r="Q10" i="9"/>
  <c r="J12" i="9"/>
  <c r="R12" i="9" s="1"/>
  <c r="K12" i="9"/>
  <c r="S12" i="9" s="1"/>
  <c r="O12" i="9"/>
  <c r="Q12" i="9"/>
  <c r="J13" i="9"/>
  <c r="N13" i="9" s="1"/>
  <c r="K13" i="9"/>
  <c r="S13" i="9" s="1"/>
  <c r="O13" i="9"/>
  <c r="Q13" i="9"/>
  <c r="J14" i="9"/>
  <c r="N14" i="9" s="1"/>
  <c r="K14" i="9"/>
  <c r="S14" i="9" s="1"/>
  <c r="O14" i="9"/>
  <c r="Q14" i="9"/>
  <c r="J15" i="9"/>
  <c r="R15" i="9" s="1"/>
  <c r="K15" i="9"/>
  <c r="S15" i="9" s="1"/>
  <c r="O15" i="9"/>
  <c r="Q15" i="9"/>
  <c r="J16" i="9"/>
  <c r="N16" i="9" s="1"/>
  <c r="K16" i="9"/>
  <c r="S16" i="9" s="1"/>
  <c r="O16" i="9"/>
  <c r="Q16" i="9"/>
  <c r="J17" i="9"/>
  <c r="N17" i="9" s="1"/>
  <c r="K17" i="9"/>
  <c r="S17" i="9" s="1"/>
  <c r="O17" i="9"/>
  <c r="Q17" i="9"/>
  <c r="J18" i="9"/>
  <c r="N18" i="9" s="1"/>
  <c r="K18" i="9"/>
  <c r="S18" i="9" s="1"/>
  <c r="O18" i="9"/>
  <c r="Q18" i="9"/>
  <c r="J19" i="9"/>
  <c r="N19" i="9" s="1"/>
  <c r="K19" i="9"/>
  <c r="S19" i="9" s="1"/>
  <c r="O19" i="9"/>
  <c r="Q19" i="9"/>
  <c r="J38" i="9"/>
  <c r="R38" i="9" s="1"/>
  <c r="K38" i="9"/>
  <c r="S38" i="9" s="1"/>
  <c r="O38" i="9"/>
  <c r="Q38" i="9"/>
  <c r="J39" i="9"/>
  <c r="R39" i="9" s="1"/>
  <c r="K39" i="9"/>
  <c r="S39" i="9" s="1"/>
  <c r="O39" i="9"/>
  <c r="Q39" i="9"/>
  <c r="Q2" i="9"/>
  <c r="O2" i="9"/>
  <c r="K2" i="9"/>
  <c r="S2" i="9" s="1"/>
  <c r="J2" i="9"/>
  <c r="R2" i="9" s="1"/>
  <c r="Q29" i="8"/>
  <c r="O29" i="8"/>
  <c r="K29" i="8"/>
  <c r="S29" i="8" s="1"/>
  <c r="J29" i="8"/>
  <c r="N29" i="8" s="1"/>
  <c r="Q28" i="8"/>
  <c r="O28" i="8"/>
  <c r="K28" i="8"/>
  <c r="S28" i="8" s="1"/>
  <c r="J28" i="8"/>
  <c r="N28" i="8" s="1"/>
  <c r="Q27" i="8"/>
  <c r="O27" i="8"/>
  <c r="K27" i="8"/>
  <c r="S27" i="8" s="1"/>
  <c r="J27" i="8"/>
  <c r="N27" i="8" s="1"/>
  <c r="J23" i="8"/>
  <c r="R23" i="8" s="1"/>
  <c r="K23" i="8"/>
  <c r="S23" i="8" s="1"/>
  <c r="O23" i="8"/>
  <c r="Q23" i="8"/>
  <c r="J24" i="8"/>
  <c r="R24" i="8" s="1"/>
  <c r="K24" i="8"/>
  <c r="S24" i="8" s="1"/>
  <c r="O24" i="8"/>
  <c r="Q24" i="8"/>
  <c r="J25" i="8"/>
  <c r="R25" i="8" s="1"/>
  <c r="K25" i="8"/>
  <c r="S25" i="8" s="1"/>
  <c r="O25" i="8"/>
  <c r="Q25" i="8"/>
  <c r="J26" i="8"/>
  <c r="N26" i="8" s="1"/>
  <c r="K26" i="8"/>
  <c r="S26" i="8" s="1"/>
  <c r="O26" i="8"/>
  <c r="Q26" i="8"/>
  <c r="J30" i="8"/>
  <c r="N30" i="8" s="1"/>
  <c r="K30" i="8"/>
  <c r="S30" i="8" s="1"/>
  <c r="O30" i="8"/>
  <c r="Q30" i="8"/>
  <c r="J31" i="8"/>
  <c r="R31" i="8" s="1"/>
  <c r="K31" i="8"/>
  <c r="S31" i="8" s="1"/>
  <c r="O31" i="8"/>
  <c r="Q31" i="8"/>
  <c r="Q21" i="8"/>
  <c r="O21" i="8"/>
  <c r="K21" i="8"/>
  <c r="S21" i="8" s="1"/>
  <c r="J21" i="8"/>
  <c r="R21" i="8" s="1"/>
  <c r="N24" i="8" l="1"/>
  <c r="N38" i="9"/>
  <c r="N23" i="8"/>
  <c r="N12" i="9"/>
  <c r="R7" i="9"/>
  <c r="N8" i="9"/>
  <c r="R3" i="9"/>
  <c r="Q40" i="9"/>
  <c r="J40" i="9"/>
  <c r="R6" i="9"/>
  <c r="K40" i="9"/>
  <c r="S40" i="9"/>
  <c r="O40" i="9"/>
  <c r="O41" i="9" s="1"/>
  <c r="R5" i="9"/>
  <c r="R16" i="9"/>
  <c r="R17" i="9"/>
  <c r="N39" i="9"/>
  <c r="N15" i="9"/>
  <c r="R14" i="9"/>
  <c r="R10" i="9"/>
  <c r="N9" i="9"/>
  <c r="N4" i="9"/>
  <c r="R18" i="9"/>
  <c r="R13" i="9"/>
  <c r="R19" i="9"/>
  <c r="N2" i="9"/>
  <c r="R26" i="8"/>
  <c r="N31" i="8"/>
  <c r="R30" i="8"/>
  <c r="R29" i="8"/>
  <c r="R28" i="8"/>
  <c r="R27" i="8"/>
  <c r="N25" i="8"/>
  <c r="N21" i="8"/>
  <c r="N40" i="9" l="1"/>
  <c r="R40" i="9"/>
  <c r="I33" i="8"/>
  <c r="H33" i="8"/>
  <c r="G33" i="8"/>
  <c r="J4" i="8"/>
  <c r="N4" i="8" s="1"/>
  <c r="K4" i="8"/>
  <c r="S4" i="8" s="1"/>
  <c r="O4" i="8"/>
  <c r="Q4" i="8"/>
  <c r="J5" i="8"/>
  <c r="N5" i="8" s="1"/>
  <c r="K5" i="8"/>
  <c r="S5" i="8" s="1"/>
  <c r="O5" i="8"/>
  <c r="Q5" i="8"/>
  <c r="J6" i="8"/>
  <c r="R6" i="8" s="1"/>
  <c r="K6" i="8"/>
  <c r="S6" i="8" s="1"/>
  <c r="O6" i="8"/>
  <c r="Q6" i="8"/>
  <c r="J7" i="8"/>
  <c r="R7" i="8" s="1"/>
  <c r="K7" i="8"/>
  <c r="S7" i="8" s="1"/>
  <c r="O7" i="8"/>
  <c r="Q7" i="8"/>
  <c r="J8" i="8"/>
  <c r="N8" i="8" s="1"/>
  <c r="K8" i="8"/>
  <c r="S8" i="8" s="1"/>
  <c r="O8" i="8"/>
  <c r="Q8" i="8"/>
  <c r="J9" i="8"/>
  <c r="N9" i="8" s="1"/>
  <c r="K9" i="8"/>
  <c r="S9" i="8" s="1"/>
  <c r="O9" i="8"/>
  <c r="Q9" i="8"/>
  <c r="J10" i="8"/>
  <c r="N10" i="8" s="1"/>
  <c r="K10" i="8"/>
  <c r="S10" i="8" s="1"/>
  <c r="O10" i="8"/>
  <c r="Q10" i="8"/>
  <c r="J11" i="8"/>
  <c r="N11" i="8" s="1"/>
  <c r="K11" i="8"/>
  <c r="S11" i="8" s="1"/>
  <c r="O11" i="8"/>
  <c r="Q11" i="8"/>
  <c r="J12" i="8"/>
  <c r="N12" i="8" s="1"/>
  <c r="K12" i="8"/>
  <c r="S12" i="8" s="1"/>
  <c r="O12" i="8"/>
  <c r="Q12" i="8"/>
  <c r="J13" i="8"/>
  <c r="N13" i="8" s="1"/>
  <c r="K13" i="8"/>
  <c r="S13" i="8" s="1"/>
  <c r="O13" i="8"/>
  <c r="Q13" i="8"/>
  <c r="J14" i="8"/>
  <c r="R14" i="8" s="1"/>
  <c r="K14" i="8"/>
  <c r="S14" i="8" s="1"/>
  <c r="O14" i="8"/>
  <c r="Q14" i="8"/>
  <c r="J15" i="8"/>
  <c r="R15" i="8" s="1"/>
  <c r="K15" i="8"/>
  <c r="S15" i="8" s="1"/>
  <c r="O15" i="8"/>
  <c r="Q15" i="8"/>
  <c r="J16" i="8"/>
  <c r="N16" i="8" s="1"/>
  <c r="K16" i="8"/>
  <c r="S16" i="8" s="1"/>
  <c r="O16" i="8"/>
  <c r="Q16" i="8"/>
  <c r="J17" i="8"/>
  <c r="N17" i="8" s="1"/>
  <c r="K17" i="8"/>
  <c r="S17" i="8" s="1"/>
  <c r="O17" i="8"/>
  <c r="Q17" i="8"/>
  <c r="J18" i="8"/>
  <c r="N18" i="8" s="1"/>
  <c r="K18" i="8"/>
  <c r="S18" i="8" s="1"/>
  <c r="O18" i="8"/>
  <c r="Q18" i="8"/>
  <c r="J19" i="8"/>
  <c r="N19" i="8" s="1"/>
  <c r="K19" i="8"/>
  <c r="S19" i="8" s="1"/>
  <c r="O19" i="8"/>
  <c r="Q19" i="8"/>
  <c r="J20" i="8"/>
  <c r="N20" i="8" s="1"/>
  <c r="K20" i="8"/>
  <c r="S20" i="8" s="1"/>
  <c r="O20" i="8"/>
  <c r="Q20" i="8"/>
  <c r="J22" i="8"/>
  <c r="R22" i="8" s="1"/>
  <c r="K22" i="8"/>
  <c r="S22" i="8" s="1"/>
  <c r="O22" i="8"/>
  <c r="Q22" i="8"/>
  <c r="J32" i="8"/>
  <c r="R32" i="8" s="1"/>
  <c r="K32" i="8"/>
  <c r="S32" i="8" s="1"/>
  <c r="O32" i="8"/>
  <c r="Q32" i="8"/>
  <c r="Q2" i="8"/>
  <c r="O2" i="8"/>
  <c r="K2" i="8"/>
  <c r="S2" i="8" s="1"/>
  <c r="J2" i="8"/>
  <c r="N2" i="8" s="1"/>
  <c r="Q3" i="8"/>
  <c r="O3" i="8"/>
  <c r="K3" i="8"/>
  <c r="S3" i="8" s="1"/>
  <c r="J3" i="8"/>
  <c r="R3" i="8" s="1"/>
  <c r="R8" i="8" l="1"/>
  <c r="N22" i="8"/>
  <c r="R17" i="8"/>
  <c r="N14" i="8"/>
  <c r="R2" i="8"/>
  <c r="R16" i="8"/>
  <c r="Q33" i="8"/>
  <c r="J33" i="8"/>
  <c r="O33" i="8"/>
  <c r="O34" i="8" s="1"/>
  <c r="S33" i="8"/>
  <c r="K33" i="8"/>
  <c r="N7" i="8"/>
  <c r="R18" i="8"/>
  <c r="R12" i="8"/>
  <c r="R9" i="8"/>
  <c r="N15" i="8"/>
  <c r="R10" i="8"/>
  <c r="N6" i="8"/>
  <c r="N32" i="8"/>
  <c r="R4" i="8"/>
  <c r="R19" i="8"/>
  <c r="R11" i="8"/>
  <c r="R20" i="8"/>
  <c r="R13" i="8"/>
  <c r="R5" i="8"/>
  <c r="N3" i="8"/>
  <c r="J2" i="2"/>
  <c r="Q24" i="2"/>
  <c r="J24" i="2"/>
  <c r="R24" i="2" s="1"/>
  <c r="K24" i="2"/>
  <c r="S24" i="2" s="1"/>
  <c r="Q14" i="2"/>
  <c r="Q15" i="2"/>
  <c r="O15" i="2"/>
  <c r="J15" i="2"/>
  <c r="N15" i="2" s="1"/>
  <c r="K15" i="2"/>
  <c r="S15" i="2" s="1"/>
  <c r="Q31" i="2"/>
  <c r="O31" i="2"/>
  <c r="J31" i="2"/>
  <c r="R31" i="2" s="1"/>
  <c r="K31" i="2"/>
  <c r="S31" i="2" s="1"/>
  <c r="J3" i="2"/>
  <c r="K3" i="2"/>
  <c r="J4" i="2"/>
  <c r="K4" i="2"/>
  <c r="J5" i="2"/>
  <c r="N5" i="2" s="1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R23" i="2" s="1"/>
  <c r="K23" i="2"/>
  <c r="S23" i="2" s="1"/>
  <c r="J25" i="2"/>
  <c r="K25" i="2"/>
  <c r="J26" i="2"/>
  <c r="K26" i="2"/>
  <c r="J27" i="2"/>
  <c r="N27" i="2" s="1"/>
  <c r="K27" i="2"/>
  <c r="S27" i="2" s="1"/>
  <c r="J28" i="2"/>
  <c r="K28" i="2"/>
  <c r="J29" i="2"/>
  <c r="K29" i="2"/>
  <c r="J30" i="2"/>
  <c r="K30" i="2"/>
  <c r="J32" i="2"/>
  <c r="K32" i="2"/>
  <c r="J33" i="2"/>
  <c r="K33" i="2"/>
  <c r="J34" i="2"/>
  <c r="K34" i="2"/>
  <c r="Q27" i="2"/>
  <c r="O27" i="2"/>
  <c r="R27" i="2"/>
  <c r="Q5" i="2"/>
  <c r="O5" i="2"/>
  <c r="S5" i="2"/>
  <c r="Q23" i="2"/>
  <c r="N33" i="8" l="1"/>
  <c r="R33" i="8"/>
  <c r="N31" i="2"/>
  <c r="R15" i="2"/>
  <c r="R5" i="2"/>
  <c r="S26" i="2"/>
  <c r="O26" i="2"/>
  <c r="Q26" i="2"/>
  <c r="Q17" i="2"/>
  <c r="O17" i="2"/>
  <c r="R17" i="2"/>
  <c r="S17" i="2"/>
  <c r="Q32" i="2"/>
  <c r="O32" i="2"/>
  <c r="R32" i="2"/>
  <c r="S32" i="2"/>
  <c r="R11" i="2"/>
  <c r="S11" i="2"/>
  <c r="N12" i="2"/>
  <c r="S12" i="2"/>
  <c r="O11" i="2"/>
  <c r="O12" i="2"/>
  <c r="O10" i="2"/>
  <c r="S10" i="2"/>
  <c r="N10" i="2"/>
  <c r="N6" i="2"/>
  <c r="O6" i="2"/>
  <c r="Q6" i="2"/>
  <c r="R6" i="2"/>
  <c r="S6" i="2"/>
  <c r="N4" i="2"/>
  <c r="O4" i="2"/>
  <c r="Q4" i="2"/>
  <c r="R4" i="2"/>
  <c r="S4" i="2"/>
  <c r="Q3" i="2"/>
  <c r="R3" i="2"/>
  <c r="S3" i="2"/>
  <c r="N3" i="2"/>
  <c r="O3" i="2"/>
  <c r="Q21" i="2"/>
  <c r="O21" i="2"/>
  <c r="R21" i="2"/>
  <c r="S21" i="2"/>
  <c r="Q10" i="3"/>
  <c r="S10" i="3"/>
  <c r="O10" i="3"/>
  <c r="J10" i="3"/>
  <c r="J11" i="3"/>
  <c r="N11" i="3" s="1"/>
  <c r="K11" i="3"/>
  <c r="O11" i="3"/>
  <c r="Q11" i="3"/>
  <c r="R11" i="3"/>
  <c r="S11" i="3"/>
  <c r="Q33" i="2"/>
  <c r="O33" i="2"/>
  <c r="S33" i="2"/>
  <c r="R33" i="2"/>
  <c r="R26" i="2"/>
  <c r="Q29" i="2"/>
  <c r="O29" i="2"/>
  <c r="S29" i="2"/>
  <c r="R29" i="2"/>
  <c r="Q34" i="2"/>
  <c r="O34" i="2"/>
  <c r="S34" i="2"/>
  <c r="N34" i="2"/>
  <c r="Q30" i="2"/>
  <c r="O30" i="2"/>
  <c r="S30" i="2"/>
  <c r="R30" i="2"/>
  <c r="R10" i="3" l="1"/>
  <c r="N10" i="3"/>
  <c r="N26" i="2"/>
  <c r="N17" i="2"/>
  <c r="R10" i="2"/>
  <c r="N32" i="2"/>
  <c r="R12" i="2"/>
  <c r="N11" i="2"/>
  <c r="N21" i="2"/>
  <c r="N33" i="2"/>
  <c r="N29" i="2"/>
  <c r="R34" i="2"/>
  <c r="N30" i="2"/>
  <c r="Q20" i="2"/>
  <c r="O19" i="2"/>
  <c r="O20" i="2"/>
  <c r="O22" i="2"/>
  <c r="N28" i="2"/>
  <c r="N19" i="2"/>
  <c r="R20" i="2"/>
  <c r="N22" i="2"/>
  <c r="S20" i="2"/>
  <c r="N20" i="2" l="1"/>
  <c r="O14" i="2" l="1"/>
  <c r="R14" i="2"/>
  <c r="S14" i="2"/>
  <c r="N14" i="2" l="1"/>
  <c r="O8" i="2" l="1"/>
  <c r="O9" i="2"/>
  <c r="N8" i="2"/>
  <c r="S8" i="2"/>
  <c r="N9" i="2"/>
  <c r="S9" i="2"/>
  <c r="Q18" i="2"/>
  <c r="O18" i="2"/>
  <c r="R18" i="2"/>
  <c r="S18" i="2"/>
  <c r="R22" i="2"/>
  <c r="Q22" i="2"/>
  <c r="S22" i="2"/>
  <c r="Q28" i="2"/>
  <c r="S28" i="2"/>
  <c r="R8" i="2" l="1"/>
  <c r="R9" i="2"/>
  <c r="N18" i="2"/>
  <c r="Q29" i="3" l="1"/>
  <c r="O29" i="3"/>
  <c r="K29" i="3"/>
  <c r="S29" i="3" s="1"/>
  <c r="J29" i="3"/>
  <c r="Q25" i="3"/>
  <c r="O25" i="3"/>
  <c r="K25" i="3"/>
  <c r="S25" i="3" s="1"/>
  <c r="J25" i="3"/>
  <c r="N25" i="3" s="1"/>
  <c r="I37" i="3"/>
  <c r="H37" i="3"/>
  <c r="G37" i="3"/>
  <c r="I35" i="2"/>
  <c r="H35" i="2"/>
  <c r="G35" i="2"/>
  <c r="O25" i="2"/>
  <c r="Q25" i="2"/>
  <c r="N25" i="2"/>
  <c r="S25" i="2"/>
  <c r="Q7" i="2"/>
  <c r="O7" i="2"/>
  <c r="S7" i="2"/>
  <c r="Q2" i="2"/>
  <c r="O2" i="2"/>
  <c r="K2" i="2"/>
  <c r="S2" i="2" s="1"/>
  <c r="N2" i="2"/>
  <c r="Q36" i="3"/>
  <c r="O36" i="3"/>
  <c r="K36" i="3"/>
  <c r="S36" i="3" s="1"/>
  <c r="J36" i="3"/>
  <c r="N36" i="3" s="1"/>
  <c r="Q35" i="3"/>
  <c r="O35" i="3"/>
  <c r="K35" i="3"/>
  <c r="S35" i="3" s="1"/>
  <c r="J35" i="3"/>
  <c r="R35" i="3" s="1"/>
  <c r="Q34" i="3"/>
  <c r="O34" i="3"/>
  <c r="K34" i="3"/>
  <c r="S34" i="3" s="1"/>
  <c r="J34" i="3"/>
  <c r="R34" i="3" s="1"/>
  <c r="Q33" i="3"/>
  <c r="O33" i="3"/>
  <c r="K33" i="3"/>
  <c r="S33" i="3" s="1"/>
  <c r="J33" i="3"/>
  <c r="N33" i="3" s="1"/>
  <c r="Q32" i="3"/>
  <c r="O32" i="3"/>
  <c r="K32" i="3"/>
  <c r="S32" i="3" s="1"/>
  <c r="R32" i="3"/>
  <c r="Q31" i="3"/>
  <c r="O31" i="3"/>
  <c r="K31" i="3"/>
  <c r="S31" i="3" s="1"/>
  <c r="J31" i="3"/>
  <c r="N31" i="3" s="1"/>
  <c r="Q30" i="3"/>
  <c r="O30" i="3"/>
  <c r="K30" i="3"/>
  <c r="S30" i="3" s="1"/>
  <c r="J30" i="3"/>
  <c r="R30" i="3" s="1"/>
  <c r="R28" i="3"/>
  <c r="Q28" i="3"/>
  <c r="O28" i="3"/>
  <c r="N28" i="3"/>
  <c r="K28" i="3"/>
  <c r="S28" i="3" s="1"/>
  <c r="Q27" i="3"/>
  <c r="O27" i="3"/>
  <c r="K27" i="3"/>
  <c r="S27" i="3" s="1"/>
  <c r="J27" i="3"/>
  <c r="N27" i="3" s="1"/>
  <c r="Q26" i="3"/>
  <c r="O26" i="3"/>
  <c r="K26" i="3"/>
  <c r="S26" i="3" s="1"/>
  <c r="J26" i="3"/>
  <c r="N26" i="3" s="1"/>
  <c r="Q24" i="3"/>
  <c r="O24" i="3"/>
  <c r="K24" i="3"/>
  <c r="S24" i="3" s="1"/>
  <c r="J24" i="3"/>
  <c r="R24" i="3" s="1"/>
  <c r="Q23" i="3"/>
  <c r="O23" i="3"/>
  <c r="K23" i="3"/>
  <c r="S23" i="3" s="1"/>
  <c r="J23" i="3"/>
  <c r="N23" i="3" s="1"/>
  <c r="Q22" i="3"/>
  <c r="O22" i="3"/>
  <c r="K22" i="3"/>
  <c r="S22" i="3" s="1"/>
  <c r="J22" i="3"/>
  <c r="N22" i="3" s="1"/>
  <c r="Q21" i="3"/>
  <c r="O21" i="3"/>
  <c r="N21" i="3"/>
  <c r="K21" i="3"/>
  <c r="S21" i="3" s="1"/>
  <c r="Q20" i="3"/>
  <c r="O20" i="3"/>
  <c r="K20" i="3"/>
  <c r="S20" i="3" s="1"/>
  <c r="J20" i="3"/>
  <c r="R20" i="3" s="1"/>
  <c r="Q19" i="3"/>
  <c r="O19" i="3"/>
  <c r="K19" i="3"/>
  <c r="S19" i="3" s="1"/>
  <c r="J19" i="3"/>
  <c r="N19" i="3" s="1"/>
  <c r="R18" i="3"/>
  <c r="Q18" i="3"/>
  <c r="N18" i="3"/>
  <c r="K18" i="3"/>
  <c r="S18" i="3" s="1"/>
  <c r="Q17" i="3"/>
  <c r="O17" i="3"/>
  <c r="K17" i="3"/>
  <c r="S17" i="3" s="1"/>
  <c r="J17" i="3"/>
  <c r="N17" i="3" s="1"/>
  <c r="Q16" i="3"/>
  <c r="O16" i="3"/>
  <c r="K16" i="3"/>
  <c r="S16" i="3" s="1"/>
  <c r="J16" i="3"/>
  <c r="N16" i="3" s="1"/>
  <c r="Q15" i="3"/>
  <c r="O15" i="3"/>
  <c r="K15" i="3"/>
  <c r="S15" i="3" s="1"/>
  <c r="J15" i="3"/>
  <c r="N15" i="3" s="1"/>
  <c r="Q14" i="3"/>
  <c r="O14" i="3"/>
  <c r="K14" i="3"/>
  <c r="S14" i="3" s="1"/>
  <c r="J14" i="3"/>
  <c r="N14" i="3" s="1"/>
  <c r="Q13" i="3"/>
  <c r="O13" i="3"/>
  <c r="K13" i="3"/>
  <c r="S13" i="3" s="1"/>
  <c r="J13" i="3"/>
  <c r="R13" i="3" s="1"/>
  <c r="Q12" i="3"/>
  <c r="O12" i="3"/>
  <c r="K12" i="3"/>
  <c r="S12" i="3" s="1"/>
  <c r="J12" i="3"/>
  <c r="R12" i="3" s="1"/>
  <c r="S9" i="3"/>
  <c r="Q9" i="3"/>
  <c r="O9" i="3"/>
  <c r="J9" i="3"/>
  <c r="R9" i="3" s="1"/>
  <c r="Q8" i="3"/>
  <c r="O8" i="3"/>
  <c r="K8" i="3"/>
  <c r="S8" i="3" s="1"/>
  <c r="J8" i="3"/>
  <c r="R8" i="3" s="1"/>
  <c r="S7" i="3"/>
  <c r="R7" i="3"/>
  <c r="Q7" i="3"/>
  <c r="O7" i="3"/>
  <c r="N7" i="3"/>
  <c r="Q6" i="3"/>
  <c r="O6" i="3"/>
  <c r="K6" i="3"/>
  <c r="S6" i="3" s="1"/>
  <c r="J6" i="3"/>
  <c r="R6" i="3" s="1"/>
  <c r="Q5" i="3"/>
  <c r="O5" i="3"/>
  <c r="K5" i="3"/>
  <c r="S5" i="3" s="1"/>
  <c r="J5" i="3"/>
  <c r="N5" i="3" s="1"/>
  <c r="Q4" i="3"/>
  <c r="O4" i="3"/>
  <c r="K4" i="3"/>
  <c r="S4" i="3" s="1"/>
  <c r="J4" i="3"/>
  <c r="R4" i="3" s="1"/>
  <c r="Q3" i="3"/>
  <c r="O3" i="3"/>
  <c r="N3" i="3"/>
  <c r="K3" i="3"/>
  <c r="S3" i="3" s="1"/>
  <c r="Q2" i="3"/>
  <c r="O2" i="3"/>
  <c r="K2" i="3"/>
  <c r="S2" i="3" s="1"/>
  <c r="J2" i="3"/>
  <c r="R2" i="3" s="1"/>
  <c r="R19" i="2"/>
  <c r="Q19" i="2"/>
  <c r="S19" i="2"/>
  <c r="Q16" i="2"/>
  <c r="O16" i="2"/>
  <c r="S16" i="2"/>
  <c r="R16" i="2"/>
  <c r="Q13" i="2"/>
  <c r="O13" i="2"/>
  <c r="S13" i="2"/>
  <c r="N13" i="2"/>
  <c r="N29" i="3" l="1"/>
  <c r="R29" i="3"/>
  <c r="Q35" i="2"/>
  <c r="R7" i="2"/>
  <c r="N7" i="2"/>
  <c r="R25" i="2"/>
  <c r="O35" i="2"/>
  <c r="O36" i="2" s="1"/>
  <c r="S35" i="2"/>
  <c r="J37" i="3"/>
  <c r="K37" i="3"/>
  <c r="O37" i="3"/>
  <c r="O38" i="3" s="1"/>
  <c r="N30" i="3"/>
  <c r="Q37" i="3"/>
  <c r="S37" i="3"/>
  <c r="R25" i="3"/>
  <c r="K35" i="2"/>
  <c r="J35" i="2"/>
  <c r="R2" i="2"/>
  <c r="R14" i="3"/>
  <c r="R19" i="3"/>
  <c r="N4" i="3"/>
  <c r="R16" i="3"/>
  <c r="R31" i="3"/>
  <c r="N9" i="3"/>
  <c r="N13" i="3"/>
  <c r="R22" i="3"/>
  <c r="N35" i="3"/>
  <c r="R36" i="3"/>
  <c r="N24" i="3"/>
  <c r="N8" i="3"/>
  <c r="R17" i="3"/>
  <c r="R5" i="3"/>
  <c r="R15" i="3"/>
  <c r="R23" i="3"/>
  <c r="N2" i="3"/>
  <c r="N12" i="3"/>
  <c r="N6" i="3"/>
  <c r="N20" i="3"/>
  <c r="N32" i="3"/>
  <c r="N34" i="3"/>
  <c r="R27" i="3"/>
  <c r="R26" i="3"/>
  <c r="R33" i="3"/>
  <c r="N16" i="2"/>
  <c r="R13" i="2"/>
  <c r="R35" i="2" l="1"/>
  <c r="N37" i="3"/>
  <c r="N35" i="2"/>
  <c r="R37" i="3"/>
  <c r="A27" i="16"/>
  <c r="A28" i="16"/>
  <c r="A29" i="16"/>
  <c r="A32" i="16"/>
  <c r="A33" i="16"/>
  <c r="A34" i="16"/>
  <c r="A35" i="16"/>
  <c r="H34" i="16"/>
  <c r="H35" i="16"/>
  <c r="H27" i="16"/>
  <c r="H28" i="16"/>
  <c r="H29" i="16"/>
  <c r="H30" i="16"/>
  <c r="H31" i="16"/>
  <c r="H33" i="16"/>
  <c r="H32" i="16"/>
  <c r="H26" i="16"/>
  <c r="A26" i="16"/>
</calcChain>
</file>

<file path=xl/sharedStrings.xml><?xml version="1.0" encoding="utf-8"?>
<sst xmlns="http://schemas.openxmlformats.org/spreadsheetml/2006/main" count="914" uniqueCount="378">
  <si>
    <t>Adams</t>
  </si>
  <si>
    <t>Bagheri</t>
  </si>
  <si>
    <t>Bobier</t>
  </si>
  <si>
    <t>Coverley</t>
  </si>
  <si>
    <t>Jenkins</t>
  </si>
  <si>
    <t>King</t>
  </si>
  <si>
    <t>Lawrenz</t>
  </si>
  <si>
    <t>Rueffer</t>
  </si>
  <si>
    <t>Simpson</t>
  </si>
  <si>
    <t>Snow</t>
  </si>
  <si>
    <t>Ward Plaza</t>
  </si>
  <si>
    <t>Weems</t>
  </si>
  <si>
    <t>Willis</t>
  </si>
  <si>
    <t>Townhouse Suites</t>
  </si>
  <si>
    <t>Fee</t>
  </si>
  <si>
    <t>Name</t>
  </si>
  <si>
    <t>Park/Cumberland</t>
  </si>
  <si>
    <t>Girges</t>
  </si>
  <si>
    <t>Zamora</t>
  </si>
  <si>
    <t>Percent</t>
  </si>
  <si>
    <t>Date Signed</t>
  </si>
  <si>
    <t>Split</t>
  </si>
  <si>
    <t>Payed</t>
  </si>
  <si>
    <t>Wimpee</t>
  </si>
  <si>
    <t>Burrnet</t>
  </si>
  <si>
    <t>Delgado</t>
  </si>
  <si>
    <t>McCright</t>
  </si>
  <si>
    <t>Shipp</t>
  </si>
  <si>
    <t xml:space="preserve">Jun </t>
  </si>
  <si>
    <t>Soderstrom</t>
  </si>
  <si>
    <t>Delgadillo</t>
  </si>
  <si>
    <t xml:space="preserve">Lewis </t>
  </si>
  <si>
    <t>Initial Est. of Loss</t>
  </si>
  <si>
    <t>Revised Est. of Loss</t>
  </si>
  <si>
    <t xml:space="preserve">Rodgers </t>
  </si>
  <si>
    <t>Old Remaining</t>
  </si>
  <si>
    <t>New Remaining</t>
  </si>
  <si>
    <t>Old Remainder</t>
  </si>
  <si>
    <t>New Remainder</t>
  </si>
  <si>
    <t>Sedig Properties</t>
  </si>
  <si>
    <t>Petty</t>
  </si>
  <si>
    <t xml:space="preserve">Arco </t>
  </si>
  <si>
    <t>Navarro</t>
  </si>
  <si>
    <t>Naem</t>
  </si>
  <si>
    <t>Qaddura</t>
  </si>
  <si>
    <t>Fee Check O.C.</t>
  </si>
  <si>
    <t>Fee Check O.T.</t>
  </si>
  <si>
    <t>Ins. Checks YTD</t>
  </si>
  <si>
    <t>Sedig 2</t>
  </si>
  <si>
    <t>Maness</t>
  </si>
  <si>
    <t>Gonzalez</t>
  </si>
  <si>
    <t>Heller</t>
  </si>
  <si>
    <t>Altamesa</t>
  </si>
  <si>
    <t>Dallas Staging</t>
  </si>
  <si>
    <t>Park</t>
  </si>
  <si>
    <t>Osborn</t>
  </si>
  <si>
    <t>Prissana</t>
  </si>
  <si>
    <t>Krishnas</t>
  </si>
  <si>
    <t>Eaves</t>
  </si>
  <si>
    <t>Datwani</t>
  </si>
  <si>
    <t>Gutierrez</t>
  </si>
  <si>
    <t>McComb</t>
  </si>
  <si>
    <t>Zeus Roofing</t>
  </si>
  <si>
    <t>PSI</t>
  </si>
  <si>
    <t>Prado</t>
  </si>
  <si>
    <t>Upendo</t>
  </si>
  <si>
    <t>Geller</t>
  </si>
  <si>
    <t>Minor</t>
  </si>
  <si>
    <t>Bell</t>
  </si>
  <si>
    <t>Bowman</t>
  </si>
  <si>
    <t>Gabon</t>
  </si>
  <si>
    <t>Dallas Depot</t>
  </si>
  <si>
    <t>Texas Star</t>
  </si>
  <si>
    <t>Jaiswal</t>
  </si>
  <si>
    <t>Parish</t>
  </si>
  <si>
    <t>Boddie</t>
  </si>
  <si>
    <t>Pradon</t>
  </si>
  <si>
    <t>Stone</t>
  </si>
  <si>
    <t>Guzman</t>
  </si>
  <si>
    <t xml:space="preserve">Pizza </t>
  </si>
  <si>
    <t>Estimate of Loss</t>
  </si>
  <si>
    <t>Eachus</t>
  </si>
  <si>
    <t>Gabel</t>
  </si>
  <si>
    <t>Malone</t>
  </si>
  <si>
    <t>Katcham</t>
  </si>
  <si>
    <t>Bonnette</t>
  </si>
  <si>
    <t>Guerrero</t>
  </si>
  <si>
    <t>Thomas</t>
  </si>
  <si>
    <t>Steinke</t>
  </si>
  <si>
    <t>Pikes</t>
  </si>
  <si>
    <t>Amir</t>
  </si>
  <si>
    <t>La Quinta</t>
  </si>
  <si>
    <t>Mejia</t>
  </si>
  <si>
    <t>Wright</t>
  </si>
  <si>
    <t>Mwenebatu</t>
  </si>
  <si>
    <t>Vernon</t>
  </si>
  <si>
    <t>Mayfield</t>
  </si>
  <si>
    <t>Somani</t>
  </si>
  <si>
    <t>Fisher</t>
  </si>
  <si>
    <t>Hencke</t>
  </si>
  <si>
    <t>Ware</t>
  </si>
  <si>
    <t>Tucker</t>
  </si>
  <si>
    <t>Kadhim</t>
  </si>
  <si>
    <t>John</t>
  </si>
  <si>
    <t>Nichols</t>
  </si>
  <si>
    <t>Mendoza</t>
  </si>
  <si>
    <t>AG (Christie)</t>
  </si>
  <si>
    <t>Kuo</t>
  </si>
  <si>
    <t>Pavlovic</t>
  </si>
  <si>
    <t>Carmichael</t>
  </si>
  <si>
    <t>Montes</t>
  </si>
  <si>
    <t>Luna</t>
  </si>
  <si>
    <t>Aarron Madolora</t>
  </si>
  <si>
    <t>Jason Turner</t>
  </si>
  <si>
    <t>Marc Ryant</t>
  </si>
  <si>
    <t>Jimmie Johnson</t>
  </si>
  <si>
    <t>Angel Espinosa</t>
  </si>
  <si>
    <t>Total  Amount</t>
  </si>
  <si>
    <t>Micheal Stevens</t>
  </si>
  <si>
    <t>Weslie Kriska</t>
  </si>
  <si>
    <t>Gary Burns</t>
  </si>
  <si>
    <t>Cody Herr</t>
  </si>
  <si>
    <t>Jonathan Huddleston</t>
  </si>
  <si>
    <t>Callie Jordan</t>
  </si>
  <si>
    <t>Stephen Williams</t>
  </si>
  <si>
    <t>Robert Raub</t>
  </si>
  <si>
    <t>Bobby George</t>
  </si>
  <si>
    <t>Jose Contreras</t>
  </si>
  <si>
    <t>Carole Bordeaux</t>
  </si>
  <si>
    <t>Nicole Salinas</t>
  </si>
  <si>
    <t>Emelda Thein</t>
  </si>
  <si>
    <t>Lela Burns</t>
  </si>
  <si>
    <t>Harry Singh</t>
  </si>
  <si>
    <t>Justin Garwell</t>
  </si>
  <si>
    <t>Jack Gibbons</t>
  </si>
  <si>
    <t>John Barker</t>
  </si>
  <si>
    <t>EPC Jim Mcneal</t>
  </si>
  <si>
    <t>A-American Storage</t>
  </si>
  <si>
    <t>Caroliss Scott</t>
  </si>
  <si>
    <t>Eric Etheredge</t>
  </si>
  <si>
    <t>Andrea Ayala</t>
  </si>
  <si>
    <t>Bill Scheir</t>
  </si>
  <si>
    <t>Cassie Finley</t>
  </si>
  <si>
    <t>Nancy Nguyen</t>
  </si>
  <si>
    <t xml:space="preserve">Dehshid Nourian </t>
  </si>
  <si>
    <t>Linda Taylor</t>
  </si>
  <si>
    <t>Nelson Kwowi</t>
  </si>
  <si>
    <t>FabGennix</t>
  </si>
  <si>
    <t>Marquis Ross</t>
  </si>
  <si>
    <t>Matt Nowlin</t>
  </si>
  <si>
    <t>John Henry Garza</t>
  </si>
  <si>
    <t>Phillip Curran</t>
  </si>
  <si>
    <t>E2 Lighting Michelael Kwong</t>
  </si>
  <si>
    <t>Joyce Ozuna</t>
  </si>
  <si>
    <t>EPC</t>
  </si>
  <si>
    <t>Robin Dodson</t>
  </si>
  <si>
    <t>Kenneth Bush</t>
  </si>
  <si>
    <t>Stephen Ambrozy</t>
  </si>
  <si>
    <t>Clint Lax</t>
  </si>
  <si>
    <t>Patrica Day</t>
  </si>
  <si>
    <t>Gerry Prodnuk</t>
  </si>
  <si>
    <t>Frank Elizondro</t>
  </si>
  <si>
    <t>Jonathan Delcambre</t>
  </si>
  <si>
    <t>Bedford Central Plaza</t>
  </si>
  <si>
    <t>Tarun Damondarran</t>
  </si>
  <si>
    <t>Voice Ventures (CI)</t>
  </si>
  <si>
    <t>Lakes of Prosper (CI)</t>
  </si>
  <si>
    <t>LB Jupiter Invest. (CI)</t>
  </si>
  <si>
    <t>Ameritube (Gary) (CI)</t>
  </si>
  <si>
    <t>Victoria Rodriguez (CI)</t>
  </si>
  <si>
    <t>T2SJD (CI)</t>
  </si>
  <si>
    <t>Paul Connelly (CI)</t>
  </si>
  <si>
    <t>Gregory Linzy (CI)</t>
  </si>
  <si>
    <t>Chad Vose (CI)</t>
  </si>
  <si>
    <t>Chirag Patel (CI)</t>
  </si>
  <si>
    <t>Investment Corporation OA</t>
  </si>
  <si>
    <t>Twyla Hopkins</t>
  </si>
  <si>
    <t>Tom Tuohy</t>
  </si>
  <si>
    <t>Aaron Denovellis</t>
  </si>
  <si>
    <t>Roseanna Narvaez</t>
  </si>
  <si>
    <t>NHIP New Song (CI)</t>
  </si>
  <si>
    <t>Elliot Karash</t>
  </si>
  <si>
    <t xml:space="preserve">Nathan Davis </t>
  </si>
  <si>
    <t>Gnome Cone</t>
  </si>
  <si>
    <t>Jerone Roy</t>
  </si>
  <si>
    <t>Carolyn Patterson</t>
  </si>
  <si>
    <t>Paul Kim</t>
  </si>
  <si>
    <t>AV Eyecare</t>
  </si>
  <si>
    <t>Joseph Kieszkowski</t>
  </si>
  <si>
    <t>City of Blair</t>
  </si>
  <si>
    <t>Jerrell Horne</t>
  </si>
  <si>
    <t>Ujwalkerumar Chaudhari</t>
  </si>
  <si>
    <t>Tamar Shaytannas</t>
  </si>
  <si>
    <t>First Methodist Church</t>
  </si>
  <si>
    <t>Day School</t>
  </si>
  <si>
    <t xml:space="preserve">Joseph Meade </t>
  </si>
  <si>
    <t>Jasmine Market</t>
  </si>
  <si>
    <t>Monroe</t>
  </si>
  <si>
    <t>Indian Supermarket</t>
  </si>
  <si>
    <t>Artemio Meras</t>
  </si>
  <si>
    <t>Victorico Campuzano</t>
  </si>
  <si>
    <t>Matt Chance</t>
  </si>
  <si>
    <t>Brian Goen</t>
  </si>
  <si>
    <t>Vicki Porter (Maradi X)</t>
  </si>
  <si>
    <t>Daniel Sternshein</t>
  </si>
  <si>
    <t xml:space="preserve">Jesse Acosta </t>
  </si>
  <si>
    <t xml:space="preserve">Harvy Giddens </t>
  </si>
  <si>
    <t>Terri Boyette</t>
  </si>
  <si>
    <t>Donna Streets</t>
  </si>
  <si>
    <t>Daniel Tarango</t>
  </si>
  <si>
    <t>Paradise Ranch</t>
  </si>
  <si>
    <t>Zane Nixon (Dry Creek)</t>
  </si>
  <si>
    <t>Teresa Franko</t>
  </si>
  <si>
    <t>Jai Lee</t>
  </si>
  <si>
    <t xml:space="preserve">Sopon Acharya </t>
  </si>
  <si>
    <t>Tommy Siharath</t>
  </si>
  <si>
    <t>Darrell Bevelhymer</t>
  </si>
  <si>
    <t>CCFBC</t>
  </si>
  <si>
    <t>Arron Denovellis</t>
  </si>
  <si>
    <t>Rip Van Winkle</t>
  </si>
  <si>
    <t>Jeff Lefkovits</t>
  </si>
  <si>
    <t>Nandakumar Thangavelu</t>
  </si>
  <si>
    <t>City of Big Spring</t>
  </si>
  <si>
    <t xml:space="preserve">Grace Point Bible </t>
  </si>
  <si>
    <t>Kenneth Wineburg</t>
  </si>
  <si>
    <t>Chimney Ridge Condos</t>
  </si>
  <si>
    <t>Pooja Mohan</t>
  </si>
  <si>
    <t>Avelino Acbang</t>
  </si>
  <si>
    <t>Elizabeth Esquivel</t>
  </si>
  <si>
    <t>Hugo Garcia</t>
  </si>
  <si>
    <t>Bill Pasher</t>
  </si>
  <si>
    <t>Adjuster</t>
  </si>
  <si>
    <t>Daman G.</t>
  </si>
  <si>
    <t xml:space="preserve">James </t>
  </si>
  <si>
    <t>Jason</t>
  </si>
  <si>
    <t>Jeff</t>
  </si>
  <si>
    <t>Luis</t>
  </si>
  <si>
    <t>Dan</t>
  </si>
  <si>
    <t>Phil</t>
  </si>
  <si>
    <t>Anna</t>
  </si>
  <si>
    <t>Tom</t>
  </si>
  <si>
    <t>Artie</t>
  </si>
  <si>
    <t>Everit Johnson</t>
  </si>
  <si>
    <t>Chris E.</t>
  </si>
  <si>
    <t>James</t>
  </si>
  <si>
    <t>Release</t>
  </si>
  <si>
    <t xml:space="preserve">Art </t>
  </si>
  <si>
    <t>Neighbors Food Pantry</t>
  </si>
  <si>
    <t>Art</t>
  </si>
  <si>
    <t>JHR Interior Design</t>
  </si>
  <si>
    <t>Free</t>
  </si>
  <si>
    <t>Chris E. = 1 claim</t>
  </si>
  <si>
    <t>Artie = 0 claim</t>
  </si>
  <si>
    <t>James = 3 claim</t>
  </si>
  <si>
    <t>Jason S = 4 claim</t>
  </si>
  <si>
    <t>Luis = 2 claims</t>
  </si>
  <si>
    <t>Phil = 3 claim 2 Released</t>
  </si>
  <si>
    <t>Anna = 1 claim</t>
  </si>
  <si>
    <t>Artie = 1 claim</t>
  </si>
  <si>
    <t>Daman = 23 claim 2 Released</t>
  </si>
  <si>
    <t>Dan = 1 claim 1 Released</t>
  </si>
  <si>
    <t>James = 2 claim 2 Released</t>
  </si>
  <si>
    <t>Art = 4 claim 4 Released</t>
  </si>
  <si>
    <t>Luis = 2 claim</t>
  </si>
  <si>
    <t>Jason = 10 claim 1 Released</t>
  </si>
  <si>
    <t>Phil = 5 claim 2 Released</t>
  </si>
  <si>
    <t>4/31/2026</t>
  </si>
  <si>
    <t>6/31/2026</t>
  </si>
  <si>
    <t>9/31/2026</t>
  </si>
  <si>
    <t>11/31/2026</t>
  </si>
  <si>
    <t>RIP VAN WINKLE</t>
  </si>
  <si>
    <t>CAROLYN PATTERSON</t>
  </si>
  <si>
    <t>GRACE POINT CHURCH</t>
  </si>
  <si>
    <t>MATT CHANCE</t>
  </si>
  <si>
    <t>AV EYECARE LLC</t>
  </si>
  <si>
    <t xml:space="preserve">JESUS ACOSTA </t>
  </si>
  <si>
    <t>Matt's Commission</t>
  </si>
  <si>
    <t>Jason's  Commission</t>
  </si>
  <si>
    <t>Ron's Commission</t>
  </si>
  <si>
    <t>Richard's Commission</t>
  </si>
  <si>
    <t>TYLER  PURDUM</t>
  </si>
  <si>
    <t>LOWELL HENNING</t>
  </si>
  <si>
    <t>ROBERT MASSEY</t>
  </si>
  <si>
    <t>MAYRA CASTILLO</t>
  </si>
  <si>
    <t>LEWIS MITCHELL</t>
  </si>
  <si>
    <t>RAUDEL NAVA</t>
  </si>
  <si>
    <t>Jasons</t>
  </si>
  <si>
    <t>Rons</t>
  </si>
  <si>
    <t>Richards</t>
  </si>
  <si>
    <t>Books</t>
  </si>
  <si>
    <t>Brook's Commission</t>
  </si>
  <si>
    <t>Commision</t>
  </si>
  <si>
    <t>Matt Aldrich — 2026 Sales Approach &amp; Growth Plan</t>
  </si>
  <si>
    <t>A flexible strategy focused on growth, opportunity, and consistent activity.</t>
  </si>
  <si>
    <t>1. Purpose of This Plan</t>
  </si>
  <si>
    <t>My intention for 2026 is to approach the year with organization, clarity, and a structured path for growth.</t>
  </si>
  <si>
    <t xml:space="preserve">This plan outlines the types of opportunities I aim to pursue, the relationships I want to </t>
  </si>
  <si>
    <t>strengthen, and the activities that help me stay consistent.</t>
  </si>
  <si>
    <t>2. Opportunity Areas I Will Focus On</t>
  </si>
  <si>
    <t>Residential Opportunities</t>
  </si>
  <si>
    <t>Residential losses have keep my pipeline active.</t>
  </si>
  <si>
    <t>Typical Opportunity Value</t>
  </si>
  <si>
    <t>$350,000 – $500,000</t>
  </si>
  <si>
    <t>General Goal</t>
  </si>
  <si>
    <t>Aim for 2–3 per month, understanding this will vary depending on conditions and availability.</t>
  </si>
  <si>
    <t>Expected Contribution</t>
  </si>
  <si>
    <t>Flexible range: ~$10M–$15M annually</t>
  </si>
  <si>
    <t>⸻</t>
  </si>
  <si>
    <t>Large Loss Opportunities (Commercial + Industrial Combined)</t>
  </si>
  <si>
    <t>Commercial and industrial work represents an area of significant potential.</t>
  </si>
  <si>
    <t>Typical Opportunity Ranges</t>
  </si>
  <si>
    <t>   •    Standard large loss: $750k – $2.5M</t>
  </si>
  <si>
    <t>   •    Higher-end or industrial: $3M – $10M+</t>
  </si>
  <si>
    <t>Pursue 8–12 large-loss opportunities over the course of the year, knowing this depends on market conditions and availability.</t>
  </si>
  <si>
    <t>Flexible range: ~$20M–$30M annually</t>
  </si>
  <si>
    <t>(with the possibility of a larger loss if timing aligns)</t>
  </si>
  <si>
    <t>Mid-Size Commercial Opportunities</t>
  </si>
  <si>
    <t>Range</t>
  </si>
  <si>
    <t>$1M–$1.5M</t>
  </si>
  <si>
    <t>Contribution Estimate</t>
  </si>
  <si>
    <t>~$2M–$4M annually</t>
  </si>
  <si>
    <t>3. Total Estimated Range for 2026</t>
  </si>
  <si>
    <t>Given the natural variability in claims, the year could reasonably fall into a broad production range.</t>
  </si>
  <si>
    <t>A realistic outlook for 2026 based on my activity and opportunity flow would be:</t>
  </si>
  <si>
    <t>Expected Range:</t>
  </si>
  <si>
    <t>$45M – $60M</t>
  </si>
  <si>
    <t>This range accounts for:</t>
  </si>
  <si>
    <t>   •    Seasonal changes</t>
  </si>
  <si>
    <t>   •    Market factors</t>
  </si>
  <si>
    <t>   •    Opportunity timing</t>
  </si>
  <si>
    <t>   •    Variability in claim sizes</t>
  </si>
  <si>
    <t>   •    Natural fluctuations in residential and commercial activity</t>
  </si>
  <si>
    <t>This is intentionally wide so it reflects a realistic, responsible outlook.</t>
  </si>
  <si>
    <t>4. How I Plan to Pursue Growth in 2026</t>
  </si>
  <si>
    <t>Key Areas of Focus</t>
  </si>
  <si>
    <t>   •    Strengthening relationships with contractors, adjusters, and referral partners</t>
  </si>
  <si>
    <t>   •    Increasing visibility with commercial and industrial contacts</t>
  </si>
  <si>
    <t>   •    Maintaining consistent follow-up and communication</t>
  </si>
  <si>
    <t>   •    Staying disciplined with activity even during slow periods</t>
  </si>
  <si>
    <t>   •    Being present and available when unexpected opportunities arise</t>
  </si>
  <si>
    <t>5. Quarterly Themes (Not Commitments)</t>
  </si>
  <si>
    <t>Focus on reestablishing relationships and identifying early opportunities.</t>
  </si>
  <si>
    <t>Increase outreach to commercial contacts and expand mid-size opportunities.</t>
  </si>
  <si>
    <t>Leverage natural increases in residential and adjuster-driven referrals.</t>
  </si>
  <si>
    <t>6. Final Perspective</t>
  </si>
  <si>
    <t>This plan reflects my intentions, focus areas, and strategic approach for 2026.</t>
  </si>
  <si>
    <t>My goal is simple:</t>
  </si>
  <si>
    <t>Continue growing, deepen relationships, stay consistent, and be ready when opportunity shows up.</t>
  </si>
  <si>
    <r>
      <rPr>
        <b/>
        <sz val="12"/>
        <color theme="1"/>
        <rFont val="Aptos"/>
        <family val="2"/>
      </rPr>
      <t>Q1</t>
    </r>
    <r>
      <rPr>
        <sz val="12"/>
        <color theme="1"/>
        <rFont val="Aptos"/>
        <family val="2"/>
      </rPr>
      <t xml:space="preserve"> — Foundation &amp; Pipeline Building</t>
    </r>
  </si>
  <si>
    <r>
      <rPr>
        <b/>
        <sz val="12"/>
        <color theme="1"/>
        <rFont val="Aptos"/>
        <family val="2"/>
      </rPr>
      <t>Q2</t>
    </r>
    <r>
      <rPr>
        <sz val="12"/>
        <color theme="1"/>
        <rFont val="Aptos"/>
        <family val="2"/>
      </rPr>
      <t xml:space="preserve"> — Commercial Development</t>
    </r>
  </si>
  <si>
    <r>
      <rPr>
        <b/>
        <sz val="12"/>
        <color theme="1"/>
        <rFont val="Aptos"/>
        <family val="2"/>
      </rPr>
      <t>Q3</t>
    </r>
    <r>
      <rPr>
        <sz val="12"/>
        <color theme="1"/>
        <rFont val="Aptos"/>
        <family val="2"/>
      </rPr>
      <t xml:space="preserve"> — Seasonal Momentum</t>
    </r>
  </si>
  <si>
    <r>
      <rPr>
        <b/>
        <sz val="12"/>
        <color theme="1"/>
        <rFont val="Aptos"/>
        <family val="2"/>
      </rPr>
      <t>Q4</t>
    </r>
    <r>
      <rPr>
        <sz val="12"/>
        <color theme="1"/>
        <rFont val="Aptos"/>
        <family val="2"/>
      </rPr>
      <t xml:space="preserve"> — Closing Strong &amp; Positioning for Next Year</t>
    </r>
  </si>
  <si>
    <t>Daman G. = 6 claim</t>
  </si>
  <si>
    <t>Anna = 2 claim</t>
  </si>
  <si>
    <t>Jeff = 12 claim</t>
  </si>
  <si>
    <t>Chris Libby</t>
  </si>
  <si>
    <t>City</t>
  </si>
  <si>
    <t>D</t>
  </si>
  <si>
    <t>H</t>
  </si>
  <si>
    <t xml:space="preserve">Goals </t>
  </si>
  <si>
    <t>48 Deals</t>
  </si>
  <si>
    <t>Average</t>
  </si>
  <si>
    <t>Average %</t>
  </si>
  <si>
    <t>Dan Stouffer</t>
  </si>
  <si>
    <t>Released</t>
  </si>
  <si>
    <t>Adjusters Plus or Minus %</t>
  </si>
  <si>
    <t>Sales Person Plus or Minus %</t>
  </si>
  <si>
    <t xml:space="preserve">Number of Deals </t>
  </si>
  <si>
    <t xml:space="preserve">Average Percent </t>
  </si>
  <si>
    <t xml:space="preserve">Equals total </t>
  </si>
  <si>
    <t xml:space="preserve">Goal for commission </t>
  </si>
  <si>
    <t>Percent of commission</t>
  </si>
  <si>
    <t>Company Fee</t>
  </si>
  <si>
    <t xml:space="preserve">Total Amount of Deals  </t>
  </si>
  <si>
    <t>Avagare Deal</t>
  </si>
  <si>
    <t xml:space="preserve">Total Commission </t>
  </si>
  <si>
    <t xml:space="preserve">Goal Amount of Deals  </t>
  </si>
  <si>
    <t xml:space="preserve">Goal Number of Deals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</si>
</sst>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b/>
      <sz val="20"/>
      <color rgb="FFFFFF00"/>
      <name val="Calibri"/>
      <family val="2"/>
      <scheme val="minor"/>
    </font>
    <font>
      <sz val="12"/>
      <color theme="1"/>
      <name val="Segoe UI Symbol"/>
      <family val="2"/>
    </font>
    <font>
      <b/>
      <sz val="14"/>
      <color theme="1"/>
      <name val="Calibri"/>
      <family val="2"/>
      <scheme val="minor"/>
    </font>
    <font>
      <i/>
      <sz val="12"/>
      <color theme="1"/>
      <name val="Aptos"/>
      <family val="2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8088B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1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0" borderId="0" xfId="0" applyNumberFormat="1" applyAlignment="1">
      <alignment wrapText="1"/>
    </xf>
    <xf numFmtId="1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9" fontId="1" fillId="0" borderId="1" xfId="0" applyNumberFormat="1" applyFont="1" applyBorder="1"/>
    <xf numFmtId="0" fontId="0" fillId="0" borderId="1" xfId="0" applyBorder="1"/>
    <xf numFmtId="14" fontId="0" fillId="2" borderId="1" xfId="0" applyNumberFormat="1" applyFill="1" applyBorder="1"/>
    <xf numFmtId="164" fontId="0" fillId="2" borderId="1" xfId="0" applyNumberFormat="1" applyFill="1" applyBorder="1"/>
    <xf numFmtId="9" fontId="0" fillId="2" borderId="1" xfId="1" applyFont="1" applyFill="1" applyBorder="1"/>
    <xf numFmtId="9" fontId="0" fillId="2" borderId="1" xfId="0" applyNumberFormat="1" applyFill="1" applyBorder="1"/>
    <xf numFmtId="44" fontId="0" fillId="2" borderId="1" xfId="2" applyFont="1" applyFill="1" applyBorder="1"/>
    <xf numFmtId="44" fontId="0" fillId="0" borderId="0" xfId="0" applyNumberFormat="1"/>
    <xf numFmtId="44" fontId="0" fillId="0" borderId="0" xfId="2" applyFont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164" fontId="0" fillId="2" borderId="4" xfId="0" applyNumberFormat="1" applyFill="1" applyBorder="1"/>
    <xf numFmtId="9" fontId="0" fillId="2" borderId="4" xfId="0" applyNumberFormat="1" applyFill="1" applyBorder="1"/>
    <xf numFmtId="0" fontId="0" fillId="3" borderId="1" xfId="0" applyFill="1" applyBorder="1"/>
    <xf numFmtId="9" fontId="1" fillId="0" borderId="1" xfId="1" applyFont="1" applyBorder="1"/>
    <xf numFmtId="0" fontId="4" fillId="0" borderId="0" xfId="0" applyFont="1"/>
    <xf numFmtId="1" fontId="0" fillId="3" borderId="1" xfId="1" applyNumberFormat="1" applyFont="1" applyFill="1" applyBorder="1"/>
    <xf numFmtId="1" fontId="0" fillId="5" borderId="1" xfId="1" applyNumberFormat="1" applyFont="1" applyFill="1" applyBorder="1"/>
    <xf numFmtId="1" fontId="3" fillId="6" borderId="1" xfId="1" applyNumberFormat="1" applyFont="1" applyFill="1" applyBorder="1"/>
    <xf numFmtId="1" fontId="0" fillId="4" borderId="1" xfId="1" applyNumberFormat="1" applyFont="1" applyFill="1" applyBorder="1"/>
    <xf numFmtId="1" fontId="0" fillId="3" borderId="1" xfId="0" applyNumberFormat="1" applyFill="1" applyBorder="1"/>
    <xf numFmtId="1" fontId="0" fillId="5" borderId="1" xfId="0" applyNumberFormat="1" applyFill="1" applyBorder="1"/>
    <xf numFmtId="14" fontId="0" fillId="2" borderId="1" xfId="0" applyNumberFormat="1" applyFill="1" applyBorder="1" applyAlignment="1">
      <alignment horizontal="left" indent="4"/>
    </xf>
    <xf numFmtId="14" fontId="0" fillId="2" borderId="1" xfId="0" applyNumberFormat="1" applyFill="1" applyBorder="1" applyAlignment="1">
      <alignment horizontal="left" indent="5"/>
    </xf>
    <xf numFmtId="8" fontId="0" fillId="0" borderId="0" xfId="0" applyNumberFormat="1"/>
    <xf numFmtId="0" fontId="5" fillId="7" borderId="5" xfId="0" applyFont="1" applyFill="1" applyBorder="1" applyAlignment="1">
      <alignment horizontal="left"/>
    </xf>
    <xf numFmtId="0" fontId="6" fillId="7" borderId="6" xfId="0" applyFont="1" applyFill="1" applyBorder="1" applyAlignment="1">
      <alignment horizontal="left"/>
    </xf>
    <xf numFmtId="8" fontId="5" fillId="8" borderId="5" xfId="0" applyNumberFormat="1" applyFont="1" applyFill="1" applyBorder="1" applyAlignment="1">
      <alignment horizontal="center"/>
    </xf>
    <xf numFmtId="8" fontId="6" fillId="8" borderId="6" xfId="0" applyNumberFormat="1" applyFont="1" applyFill="1" applyBorder="1" applyAlignment="1">
      <alignment horizontal="center"/>
    </xf>
    <xf numFmtId="0" fontId="6" fillId="7" borderId="7" xfId="0" applyFont="1" applyFill="1" applyBorder="1" applyAlignment="1">
      <alignment horizontal="left"/>
    </xf>
    <xf numFmtId="8" fontId="6" fillId="8" borderId="7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left"/>
    </xf>
    <xf numFmtId="8" fontId="6" fillId="8" borderId="5" xfId="0" applyNumberFormat="1" applyFont="1" applyFill="1" applyBorder="1" applyAlignment="1">
      <alignment horizontal="center"/>
    </xf>
    <xf numFmtId="164" fontId="0" fillId="5" borderId="0" xfId="0" applyNumberFormat="1" applyFill="1"/>
    <xf numFmtId="9" fontId="0" fillId="5" borderId="0" xfId="0" applyNumberFormat="1" applyFill="1"/>
    <xf numFmtId="164" fontId="0" fillId="11" borderId="0" xfId="0" applyNumberFormat="1" applyFill="1"/>
    <xf numFmtId="9" fontId="0" fillId="11" borderId="0" xfId="0" applyNumberFormat="1" applyFill="1"/>
    <xf numFmtId="164" fontId="0" fillId="9" borderId="0" xfId="0" applyNumberFormat="1" applyFill="1"/>
    <xf numFmtId="9" fontId="0" fillId="9" borderId="0" xfId="0" applyNumberFormat="1" applyFill="1"/>
    <xf numFmtId="164" fontId="0" fillId="10" borderId="0" xfId="0" applyNumberFormat="1" applyFill="1"/>
    <xf numFmtId="9" fontId="0" fillId="10" borderId="0" xfId="0" applyNumberFormat="1" applyFill="1"/>
    <xf numFmtId="8" fontId="6" fillId="8" borderId="5" xfId="0" applyNumberFormat="1" applyFont="1" applyFill="1" applyBorder="1" applyAlignment="1">
      <alignment horizontal="right"/>
    </xf>
    <xf numFmtId="8" fontId="6" fillId="8" borderId="7" xfId="0" applyNumberFormat="1" applyFont="1" applyFill="1" applyBorder="1" applyAlignment="1">
      <alignment horizontal="right"/>
    </xf>
    <xf numFmtId="8" fontId="8" fillId="8" borderId="7" xfId="0" applyNumberFormat="1" applyFont="1" applyFill="1" applyBorder="1" applyAlignment="1">
      <alignment horizontal="right"/>
    </xf>
    <xf numFmtId="8" fontId="5" fillId="8" borderId="5" xfId="0" applyNumberFormat="1" applyFont="1" applyFill="1" applyBorder="1" applyAlignment="1">
      <alignment horizontal="right"/>
    </xf>
    <xf numFmtId="164" fontId="0" fillId="11" borderId="0" xfId="2" applyNumberFormat="1" applyFont="1" applyFill="1" applyBorder="1"/>
    <xf numFmtId="164" fontId="0" fillId="10" borderId="0" xfId="2" applyNumberFormat="1" applyFont="1" applyFill="1" applyBorder="1"/>
    <xf numFmtId="0" fontId="0" fillId="0" borderId="0" xfId="0" applyAlignment="1">
      <alignment horizontal="left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left" vertical="center" indent="4"/>
    </xf>
    <xf numFmtId="0" fontId="9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4"/>
    </xf>
    <xf numFmtId="0" fontId="14" fillId="0" borderId="0" xfId="0" applyFont="1" applyAlignment="1">
      <alignment horizontal="left"/>
    </xf>
    <xf numFmtId="0" fontId="11" fillId="0" borderId="0" xfId="0" applyFont="1" applyAlignment="1">
      <alignment horizontal="left" vertical="center" indent="4"/>
    </xf>
    <xf numFmtId="0" fontId="15" fillId="0" borderId="0" xfId="0" applyFont="1" applyAlignment="1">
      <alignment horizontal="left" vertical="center" indent="4"/>
    </xf>
    <xf numFmtId="1" fontId="0" fillId="4" borderId="1" xfId="0" applyNumberFormat="1" applyFill="1" applyBorder="1"/>
    <xf numFmtId="1" fontId="5" fillId="4" borderId="1" xfId="1" applyNumberFormat="1" applyFont="1" applyFill="1" applyBorder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14" fontId="0" fillId="12" borderId="1" xfId="0" applyNumberFormat="1" applyFill="1" applyBorder="1"/>
    <xf numFmtId="164" fontId="0" fillId="12" borderId="1" xfId="0" applyNumberFormat="1" applyFill="1" applyBorder="1"/>
    <xf numFmtId="9" fontId="0" fillId="12" borderId="1" xfId="1" applyFont="1" applyFill="1" applyBorder="1"/>
    <xf numFmtId="9" fontId="0" fillId="12" borderId="1" xfId="0" applyNumberFormat="1" applyFill="1" applyBorder="1"/>
    <xf numFmtId="44" fontId="0" fillId="12" borderId="1" xfId="2" applyFont="1" applyFill="1" applyBorder="1"/>
    <xf numFmtId="0" fontId="0" fillId="12" borderId="1" xfId="0" applyFill="1" applyBorder="1"/>
    <xf numFmtId="1" fontId="0" fillId="3" borderId="0" xfId="1" applyNumberFormat="1" applyFont="1" applyFill="1" applyBorder="1"/>
    <xf numFmtId="0" fontId="16" fillId="12" borderId="8" xfId="0" applyFont="1" applyFill="1" applyBorder="1"/>
    <xf numFmtId="44" fontId="16" fillId="12" borderId="8" xfId="2" applyFont="1" applyFill="1" applyBorder="1"/>
    <xf numFmtId="9" fontId="16" fillId="12" borderId="8" xfId="1" applyFont="1" applyFill="1" applyBorder="1"/>
    <xf numFmtId="165" fontId="0" fillId="0" borderId="0" xfId="1" applyNumberFormat="1" applyFont="1"/>
    <xf numFmtId="9" fontId="0" fillId="0" borderId="0" xfId="1" applyNumberFormat="1" applyFont="1"/>
    <xf numFmtId="9" fontId="16" fillId="12" borderId="8" xfId="1" applyNumberFormat="1" applyFont="1" applyFill="1" applyBorder="1"/>
    <xf numFmtId="43" fontId="0" fillId="0" borderId="0" xfId="3" applyFont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808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0604-73F0-49E5-BEC6-7276B6D33A50}">
  <dimension ref="A1:S53"/>
  <sheetViews>
    <sheetView topLeftCell="B1" workbookViewId="0">
      <selection activeCell="A2" sqref="A2"/>
    </sheetView>
  </sheetViews>
  <sheetFormatPr defaultRowHeight="14.5" x14ac:dyDescent="0.35"/>
  <cols>
    <col min="1" max="1" width="15.81640625" bestFit="1" customWidth="1"/>
    <col min="2" max="2" width="25.54296875" customWidth="1"/>
    <col min="3" max="3" width="6.7265625" customWidth="1"/>
    <col min="4" max="5" width="25.54296875" customWidth="1"/>
    <col min="6" max="6" width="15.81640625" customWidth="1"/>
    <col min="7" max="7" width="16.453125" style="1" customWidth="1"/>
    <col min="8" max="8" width="17.54296875" style="1" customWidth="1"/>
    <col min="9" max="9" width="17.81640625" style="1" customWidth="1"/>
    <col min="10" max="11" width="17.26953125" customWidth="1"/>
    <col min="12" max="12" width="9.81640625" customWidth="1"/>
    <col min="13" max="13" width="7.1796875" style="2" customWidth="1"/>
    <col min="14" max="15" width="12.81640625" style="2" customWidth="1"/>
    <col min="16" max="16" width="9.453125" customWidth="1"/>
    <col min="17" max="17" width="12.54296875" customWidth="1"/>
    <col min="18" max="18" width="12.81640625" customWidth="1"/>
    <col min="19" max="19" width="14.1796875" customWidth="1"/>
  </cols>
  <sheetData>
    <row r="1" spans="1:19" s="8" customFormat="1" x14ac:dyDescent="0.35">
      <c r="A1" s="5" t="s">
        <v>15</v>
      </c>
      <c r="B1" s="5" t="s">
        <v>231</v>
      </c>
      <c r="C1" s="5" t="s">
        <v>356</v>
      </c>
      <c r="D1" s="22" t="s">
        <v>365</v>
      </c>
      <c r="E1" s="22" t="s">
        <v>366</v>
      </c>
      <c r="F1" s="5" t="s">
        <v>20</v>
      </c>
      <c r="G1" s="6" t="s">
        <v>32</v>
      </c>
      <c r="H1" s="6" t="s">
        <v>33</v>
      </c>
      <c r="I1" s="6" t="s">
        <v>47</v>
      </c>
      <c r="J1" s="5" t="s">
        <v>37</v>
      </c>
      <c r="K1" s="5" t="s">
        <v>38</v>
      </c>
      <c r="L1" s="5" t="s">
        <v>21</v>
      </c>
      <c r="M1" s="7" t="s">
        <v>14</v>
      </c>
      <c r="N1" s="7" t="s">
        <v>45</v>
      </c>
      <c r="O1" s="7" t="s">
        <v>46</v>
      </c>
      <c r="P1" s="5" t="s">
        <v>19</v>
      </c>
      <c r="Q1" s="5" t="s">
        <v>22</v>
      </c>
      <c r="R1" s="5" t="s">
        <v>35</v>
      </c>
      <c r="S1" s="5" t="s">
        <v>36</v>
      </c>
    </row>
    <row r="2" spans="1:19" s="8" customFormat="1" x14ac:dyDescent="0.35">
      <c r="A2" s="8" t="s">
        <v>0</v>
      </c>
      <c r="B2" s="21"/>
      <c r="C2" s="21"/>
      <c r="D2" s="24">
        <f>(H2-G2)/G2*100</f>
        <v>25</v>
      </c>
      <c r="E2" s="24"/>
      <c r="F2" s="77">
        <v>44027</v>
      </c>
      <c r="G2" s="78">
        <v>300000</v>
      </c>
      <c r="H2" s="78">
        <v>375000</v>
      </c>
      <c r="I2" s="78">
        <v>242705.37</v>
      </c>
      <c r="J2" s="78">
        <f t="shared" ref="J2:J20" si="0">G2-I2</f>
        <v>57294.630000000005</v>
      </c>
      <c r="K2" s="78">
        <f>H2-I2</f>
        <v>132294.63</v>
      </c>
      <c r="L2" s="79">
        <v>1</v>
      </c>
      <c r="M2" s="80">
        <v>7.0000000000000007E-2</v>
      </c>
      <c r="N2" s="81">
        <f>J2*M2</f>
        <v>4010.6241000000009</v>
      </c>
      <c r="O2" s="81">
        <f>L2*G2*M2</f>
        <v>21000.000000000004</v>
      </c>
      <c r="P2" s="80">
        <v>0.08</v>
      </c>
      <c r="Q2" s="78">
        <f t="shared" ref="Q2:Q36" si="1">I2*L2*M2*P2</f>
        <v>1359.1500720000001</v>
      </c>
      <c r="R2" s="78">
        <f>J2*L2*M2*P2</f>
        <v>320.84992800000009</v>
      </c>
      <c r="S2" s="78">
        <f t="shared" ref="S2:S36" si="2">K2*L2*M2*P2</f>
        <v>740.84992800000009</v>
      </c>
    </row>
    <row r="3" spans="1:19" s="8" customFormat="1" x14ac:dyDescent="0.35">
      <c r="A3" s="8" t="s">
        <v>41</v>
      </c>
      <c r="B3" s="21"/>
      <c r="C3" s="21"/>
      <c r="D3" s="24">
        <f t="shared" ref="D3:D36" si="3">(H3-G3)/G3*100</f>
        <v>0</v>
      </c>
      <c r="E3" s="24"/>
      <c r="F3" s="77">
        <v>43902</v>
      </c>
      <c r="G3" s="78">
        <v>46500</v>
      </c>
      <c r="H3" s="78">
        <v>46500</v>
      </c>
      <c r="I3" s="78">
        <v>46500</v>
      </c>
      <c r="J3" s="78">
        <v>46500</v>
      </c>
      <c r="K3" s="78">
        <f>H3-I3</f>
        <v>0</v>
      </c>
      <c r="L3" s="79">
        <v>1</v>
      </c>
      <c r="M3" s="80">
        <v>7.0000000000000007E-2</v>
      </c>
      <c r="N3" s="81">
        <f t="shared" ref="N3:N36" si="4">J3*M3</f>
        <v>3255.0000000000005</v>
      </c>
      <c r="O3" s="81">
        <f t="shared" ref="O3:O36" si="5">L3*G3*M3</f>
        <v>3255.0000000000005</v>
      </c>
      <c r="P3" s="80">
        <v>0.08</v>
      </c>
      <c r="Q3" s="78">
        <f t="shared" si="1"/>
        <v>260.40000000000003</v>
      </c>
      <c r="R3" s="78">
        <v>0</v>
      </c>
      <c r="S3" s="78">
        <f t="shared" si="2"/>
        <v>0</v>
      </c>
    </row>
    <row r="4" spans="1:19" s="8" customFormat="1" x14ac:dyDescent="0.35">
      <c r="A4" s="8" t="s">
        <v>1</v>
      </c>
      <c r="B4" s="21"/>
      <c r="C4" s="21"/>
      <c r="D4" s="24">
        <f t="shared" si="3"/>
        <v>0</v>
      </c>
      <c r="E4" s="24"/>
      <c r="F4" s="77">
        <v>44001</v>
      </c>
      <c r="G4" s="78">
        <v>5800</v>
      </c>
      <c r="H4" s="78">
        <v>5800</v>
      </c>
      <c r="I4" s="78">
        <v>5800</v>
      </c>
      <c r="J4" s="78">
        <f t="shared" si="0"/>
        <v>0</v>
      </c>
      <c r="K4" s="78">
        <f t="shared" ref="K4:K36" si="6">H4-I4</f>
        <v>0</v>
      </c>
      <c r="L4" s="79">
        <v>0.5</v>
      </c>
      <c r="M4" s="80">
        <v>0.1</v>
      </c>
      <c r="N4" s="81">
        <f t="shared" si="4"/>
        <v>0</v>
      </c>
      <c r="O4" s="81">
        <f t="shared" si="5"/>
        <v>290</v>
      </c>
      <c r="P4" s="80">
        <v>0.08</v>
      </c>
      <c r="Q4" s="78">
        <f t="shared" si="1"/>
        <v>23.2</v>
      </c>
      <c r="R4" s="78">
        <f t="shared" ref="R4:R20" si="7">J4*L4*M4*P4</f>
        <v>0</v>
      </c>
      <c r="S4" s="78">
        <f t="shared" si="2"/>
        <v>0</v>
      </c>
    </row>
    <row r="5" spans="1:19" s="8" customFormat="1" x14ac:dyDescent="0.35">
      <c r="A5" s="8" t="s">
        <v>2</v>
      </c>
      <c r="B5" s="21"/>
      <c r="C5" s="21"/>
      <c r="D5" s="24">
        <f t="shared" si="3"/>
        <v>0</v>
      </c>
      <c r="E5" s="24"/>
      <c r="F5" s="77">
        <v>43892</v>
      </c>
      <c r="G5" s="78">
        <v>7295.04</v>
      </c>
      <c r="H5" s="78">
        <v>7295.04</v>
      </c>
      <c r="I5" s="78">
        <v>7295.04</v>
      </c>
      <c r="J5" s="78">
        <f t="shared" si="0"/>
        <v>0</v>
      </c>
      <c r="K5" s="78">
        <f t="shared" si="6"/>
        <v>0</v>
      </c>
      <c r="L5" s="79">
        <v>0.2</v>
      </c>
      <c r="M5" s="80">
        <v>0.1</v>
      </c>
      <c r="N5" s="81">
        <f t="shared" si="4"/>
        <v>0</v>
      </c>
      <c r="O5" s="81">
        <f t="shared" si="5"/>
        <v>145.9008</v>
      </c>
      <c r="P5" s="80">
        <v>0.08</v>
      </c>
      <c r="Q5" s="78">
        <f t="shared" si="1"/>
        <v>11.672064000000001</v>
      </c>
      <c r="R5" s="78">
        <f t="shared" si="7"/>
        <v>0</v>
      </c>
      <c r="S5" s="78">
        <f t="shared" si="2"/>
        <v>0</v>
      </c>
    </row>
    <row r="6" spans="1:19" s="8" customFormat="1" x14ac:dyDescent="0.35">
      <c r="A6" s="8" t="s">
        <v>24</v>
      </c>
      <c r="B6" s="21"/>
      <c r="C6" s="21"/>
      <c r="D6" s="24">
        <f t="shared" si="3"/>
        <v>0</v>
      </c>
      <c r="E6" s="24"/>
      <c r="F6" s="77">
        <v>43905</v>
      </c>
      <c r="G6" s="78">
        <v>73938.11</v>
      </c>
      <c r="H6" s="78">
        <v>73938.11</v>
      </c>
      <c r="I6" s="78">
        <v>73938.11</v>
      </c>
      <c r="J6" s="78">
        <f t="shared" si="0"/>
        <v>0</v>
      </c>
      <c r="K6" s="78">
        <f t="shared" si="6"/>
        <v>0</v>
      </c>
      <c r="L6" s="79">
        <v>1</v>
      </c>
      <c r="M6" s="80">
        <v>0.1</v>
      </c>
      <c r="N6" s="81">
        <f t="shared" si="4"/>
        <v>0</v>
      </c>
      <c r="O6" s="81">
        <f t="shared" si="5"/>
        <v>7393.8110000000006</v>
      </c>
      <c r="P6" s="80">
        <v>0.08</v>
      </c>
      <c r="Q6" s="78">
        <f t="shared" si="1"/>
        <v>591.50488000000007</v>
      </c>
      <c r="R6" s="78">
        <f t="shared" si="7"/>
        <v>0</v>
      </c>
      <c r="S6" s="78">
        <f t="shared" si="2"/>
        <v>0</v>
      </c>
    </row>
    <row r="7" spans="1:19" s="8" customFormat="1" x14ac:dyDescent="0.35">
      <c r="A7" s="8" t="s">
        <v>3</v>
      </c>
      <c r="B7" s="21"/>
      <c r="C7" s="21"/>
      <c r="D7" s="24">
        <f t="shared" si="3"/>
        <v>5.9884461538461622</v>
      </c>
      <c r="E7" s="24"/>
      <c r="F7" s="77">
        <v>44058</v>
      </c>
      <c r="G7" s="78">
        <v>130000</v>
      </c>
      <c r="H7" s="78">
        <v>137784.98000000001</v>
      </c>
      <c r="I7" s="78">
        <v>137784.98000000001</v>
      </c>
      <c r="J7" s="78">
        <v>0</v>
      </c>
      <c r="K7" s="78">
        <v>0</v>
      </c>
      <c r="L7" s="79">
        <v>0.5</v>
      </c>
      <c r="M7" s="80">
        <v>0.1</v>
      </c>
      <c r="N7" s="81">
        <f t="shared" si="4"/>
        <v>0</v>
      </c>
      <c r="O7" s="81">
        <f t="shared" si="5"/>
        <v>6500</v>
      </c>
      <c r="P7" s="80">
        <v>0.08</v>
      </c>
      <c r="Q7" s="78">
        <f t="shared" si="1"/>
        <v>551.13992000000007</v>
      </c>
      <c r="R7" s="78">
        <f t="shared" si="7"/>
        <v>0</v>
      </c>
      <c r="S7" s="78">
        <f t="shared" si="2"/>
        <v>0</v>
      </c>
    </row>
    <row r="8" spans="1:19" s="8" customFormat="1" x14ac:dyDescent="0.35">
      <c r="A8" s="8" t="s">
        <v>25</v>
      </c>
      <c r="B8" s="21"/>
      <c r="C8" s="21"/>
      <c r="D8" s="24">
        <f t="shared" si="3"/>
        <v>0</v>
      </c>
      <c r="E8" s="24"/>
      <c r="F8" s="77">
        <v>43962</v>
      </c>
      <c r="G8" s="78">
        <v>97776.51</v>
      </c>
      <c r="H8" s="78">
        <v>97776.51</v>
      </c>
      <c r="I8" s="78">
        <v>97776.51</v>
      </c>
      <c r="J8" s="78">
        <f t="shared" si="0"/>
        <v>0</v>
      </c>
      <c r="K8" s="78">
        <f t="shared" si="6"/>
        <v>0</v>
      </c>
      <c r="L8" s="79">
        <v>0.5</v>
      </c>
      <c r="M8" s="80">
        <v>0.1</v>
      </c>
      <c r="N8" s="81">
        <f t="shared" si="4"/>
        <v>0</v>
      </c>
      <c r="O8" s="81">
        <f t="shared" si="5"/>
        <v>4888.8254999999999</v>
      </c>
      <c r="P8" s="80">
        <v>0.08</v>
      </c>
      <c r="Q8" s="78">
        <f t="shared" si="1"/>
        <v>391.10604000000001</v>
      </c>
      <c r="R8" s="78">
        <f t="shared" si="7"/>
        <v>0</v>
      </c>
      <c r="S8" s="78">
        <f t="shared" si="2"/>
        <v>0</v>
      </c>
    </row>
    <row r="9" spans="1:19" s="8" customFormat="1" x14ac:dyDescent="0.35">
      <c r="A9" s="8" t="s">
        <v>30</v>
      </c>
      <c r="B9" s="21"/>
      <c r="C9" s="21"/>
      <c r="D9" s="24">
        <f t="shared" si="3"/>
        <v>18.060850000000006</v>
      </c>
      <c r="E9" s="24"/>
      <c r="F9" s="77">
        <v>44134</v>
      </c>
      <c r="G9" s="78">
        <v>200000</v>
      </c>
      <c r="H9" s="78">
        <v>236121.7</v>
      </c>
      <c r="I9" s="78">
        <v>189225.27</v>
      </c>
      <c r="J9" s="78">
        <f t="shared" si="0"/>
        <v>10774.73000000001</v>
      </c>
      <c r="K9" s="78">
        <v>46896.43</v>
      </c>
      <c r="L9" s="79">
        <v>1</v>
      </c>
      <c r="M9" s="80">
        <v>0.09</v>
      </c>
      <c r="N9" s="81">
        <f t="shared" si="4"/>
        <v>969.72570000000087</v>
      </c>
      <c r="O9" s="81">
        <f t="shared" si="5"/>
        <v>18000</v>
      </c>
      <c r="P9" s="80">
        <v>0.15</v>
      </c>
      <c r="Q9" s="78">
        <f t="shared" si="1"/>
        <v>2554.5411449999997</v>
      </c>
      <c r="R9" s="78">
        <f t="shared" si="7"/>
        <v>145.45885500000011</v>
      </c>
      <c r="S9" s="78">
        <f t="shared" si="2"/>
        <v>633.1018049999999</v>
      </c>
    </row>
    <row r="10" spans="1:19" s="8" customFormat="1" x14ac:dyDescent="0.35">
      <c r="A10" s="8" t="s">
        <v>60</v>
      </c>
      <c r="B10" s="21"/>
      <c r="C10" s="21"/>
      <c r="D10" s="24">
        <f t="shared" si="3"/>
        <v>0</v>
      </c>
      <c r="E10" s="24"/>
      <c r="F10" s="77">
        <v>44143</v>
      </c>
      <c r="G10" s="78">
        <v>150000</v>
      </c>
      <c r="H10" s="78">
        <v>150000</v>
      </c>
      <c r="I10" s="78">
        <v>32639.62</v>
      </c>
      <c r="J10" s="78">
        <f t="shared" si="0"/>
        <v>117360.38</v>
      </c>
      <c r="K10" s="78">
        <v>150000</v>
      </c>
      <c r="L10" s="79">
        <v>1</v>
      </c>
      <c r="M10" s="80">
        <v>0.1</v>
      </c>
      <c r="N10" s="81">
        <f t="shared" si="4"/>
        <v>11736.038</v>
      </c>
      <c r="O10" s="81">
        <f t="shared" si="5"/>
        <v>15000</v>
      </c>
      <c r="P10" s="80">
        <v>0.15</v>
      </c>
      <c r="Q10" s="78">
        <f t="shared" si="1"/>
        <v>489.59429999999998</v>
      </c>
      <c r="R10" s="78">
        <f t="shared" si="7"/>
        <v>1760.4057</v>
      </c>
      <c r="S10" s="78">
        <f t="shared" si="2"/>
        <v>2250</v>
      </c>
    </row>
    <row r="11" spans="1:19" s="8" customFormat="1" x14ac:dyDescent="0.35">
      <c r="A11" s="8" t="s">
        <v>17</v>
      </c>
      <c r="B11" s="21"/>
      <c r="C11" s="21"/>
      <c r="D11" s="24">
        <f t="shared" si="3"/>
        <v>0</v>
      </c>
      <c r="E11" s="24"/>
      <c r="F11" s="77">
        <v>43928</v>
      </c>
      <c r="G11" s="78">
        <v>75000</v>
      </c>
      <c r="H11" s="78">
        <v>75000</v>
      </c>
      <c r="I11" s="78">
        <v>0</v>
      </c>
      <c r="J11" s="78">
        <f t="shared" si="0"/>
        <v>75000</v>
      </c>
      <c r="K11" s="78">
        <f t="shared" si="6"/>
        <v>75000</v>
      </c>
      <c r="L11" s="79">
        <v>0.75</v>
      </c>
      <c r="M11" s="80">
        <v>7.0000000000000007E-2</v>
      </c>
      <c r="N11" s="81">
        <f t="shared" si="4"/>
        <v>5250.0000000000009</v>
      </c>
      <c r="O11" s="81">
        <f t="shared" si="5"/>
        <v>3937.5000000000005</v>
      </c>
      <c r="P11" s="80">
        <v>0.08</v>
      </c>
      <c r="Q11" s="78">
        <f t="shared" si="1"/>
        <v>0</v>
      </c>
      <c r="R11" s="78">
        <f t="shared" si="7"/>
        <v>315.00000000000006</v>
      </c>
      <c r="S11" s="78">
        <f t="shared" si="2"/>
        <v>315.00000000000006</v>
      </c>
    </row>
    <row r="12" spans="1:19" s="8" customFormat="1" x14ac:dyDescent="0.35">
      <c r="A12" s="8" t="s">
        <v>4</v>
      </c>
      <c r="B12" s="21"/>
      <c r="C12" s="21"/>
      <c r="D12" s="24">
        <f t="shared" si="3"/>
        <v>0</v>
      </c>
      <c r="E12" s="24"/>
      <c r="F12" s="77">
        <v>44103</v>
      </c>
      <c r="G12" s="78">
        <v>176178.55</v>
      </c>
      <c r="H12" s="78">
        <v>176178.55</v>
      </c>
      <c r="I12" s="78">
        <v>176178.55</v>
      </c>
      <c r="J12" s="78">
        <f t="shared" si="0"/>
        <v>0</v>
      </c>
      <c r="K12" s="78">
        <f t="shared" si="6"/>
        <v>0</v>
      </c>
      <c r="L12" s="79">
        <v>1</v>
      </c>
      <c r="M12" s="80">
        <v>0.1</v>
      </c>
      <c r="N12" s="81">
        <f t="shared" si="4"/>
        <v>0</v>
      </c>
      <c r="O12" s="81">
        <f t="shared" si="5"/>
        <v>17617.855</v>
      </c>
      <c r="P12" s="80">
        <v>0.15</v>
      </c>
      <c r="Q12" s="78">
        <f t="shared" si="1"/>
        <v>2642.6782499999999</v>
      </c>
      <c r="R12" s="78">
        <f t="shared" si="7"/>
        <v>0</v>
      </c>
      <c r="S12" s="78">
        <f t="shared" si="2"/>
        <v>0</v>
      </c>
    </row>
    <row r="13" spans="1:19" s="8" customFormat="1" x14ac:dyDescent="0.35">
      <c r="A13" s="8" t="s">
        <v>28</v>
      </c>
      <c r="B13" s="21"/>
      <c r="C13" s="21"/>
      <c r="D13" s="24">
        <f t="shared" si="3"/>
        <v>0</v>
      </c>
      <c r="E13" s="24"/>
      <c r="F13" s="77">
        <v>43880</v>
      </c>
      <c r="G13" s="78">
        <v>20000</v>
      </c>
      <c r="H13" s="78">
        <v>20000</v>
      </c>
      <c r="I13" s="78">
        <v>20000</v>
      </c>
      <c r="J13" s="78">
        <f t="shared" si="0"/>
        <v>0</v>
      </c>
      <c r="K13" s="78">
        <f t="shared" si="6"/>
        <v>0</v>
      </c>
      <c r="L13" s="79">
        <v>1</v>
      </c>
      <c r="M13" s="80">
        <v>0.1</v>
      </c>
      <c r="N13" s="81">
        <f t="shared" si="4"/>
        <v>0</v>
      </c>
      <c r="O13" s="81">
        <f>L13*G13*M13</f>
        <v>2000</v>
      </c>
      <c r="P13" s="80">
        <v>0.08</v>
      </c>
      <c r="Q13" s="78">
        <f t="shared" si="1"/>
        <v>160</v>
      </c>
      <c r="R13" s="78">
        <f t="shared" si="7"/>
        <v>0</v>
      </c>
      <c r="S13" s="78">
        <f t="shared" si="2"/>
        <v>0</v>
      </c>
    </row>
    <row r="14" spans="1:19" s="8" customFormat="1" x14ac:dyDescent="0.35">
      <c r="A14" s="8" t="s">
        <v>5</v>
      </c>
      <c r="B14" s="21"/>
      <c r="C14" s="21"/>
      <c r="D14" s="24">
        <f t="shared" si="3"/>
        <v>32</v>
      </c>
      <c r="E14" s="24"/>
      <c r="F14" s="77">
        <v>44083</v>
      </c>
      <c r="G14" s="78">
        <v>150000</v>
      </c>
      <c r="H14" s="78">
        <v>198000</v>
      </c>
      <c r="I14" s="78">
        <v>0</v>
      </c>
      <c r="J14" s="78">
        <f t="shared" si="0"/>
        <v>150000</v>
      </c>
      <c r="K14" s="78">
        <f t="shared" si="6"/>
        <v>198000</v>
      </c>
      <c r="L14" s="79">
        <v>1</v>
      </c>
      <c r="M14" s="80">
        <v>0.1</v>
      </c>
      <c r="N14" s="81">
        <f t="shared" si="4"/>
        <v>15000</v>
      </c>
      <c r="O14" s="81">
        <f t="shared" si="5"/>
        <v>15000</v>
      </c>
      <c r="P14" s="80">
        <v>0.15</v>
      </c>
      <c r="Q14" s="78">
        <f t="shared" si="1"/>
        <v>0</v>
      </c>
      <c r="R14" s="78">
        <f t="shared" si="7"/>
        <v>2250</v>
      </c>
      <c r="S14" s="78">
        <f t="shared" si="2"/>
        <v>2970</v>
      </c>
    </row>
    <row r="15" spans="1:19" s="8" customFormat="1" x14ac:dyDescent="0.35">
      <c r="A15" s="8" t="s">
        <v>6</v>
      </c>
      <c r="B15" s="21"/>
      <c r="C15" s="21"/>
      <c r="D15" s="24">
        <f t="shared" si="3"/>
        <v>0</v>
      </c>
      <c r="E15" s="24"/>
      <c r="F15" s="77">
        <v>43887</v>
      </c>
      <c r="G15" s="78">
        <v>20014.169999999998</v>
      </c>
      <c r="H15" s="78">
        <v>20014.169999999998</v>
      </c>
      <c r="I15" s="78">
        <v>20014.169999999998</v>
      </c>
      <c r="J15" s="78">
        <f t="shared" si="0"/>
        <v>0</v>
      </c>
      <c r="K15" s="78">
        <f t="shared" si="6"/>
        <v>0</v>
      </c>
      <c r="L15" s="79">
        <v>1</v>
      </c>
      <c r="M15" s="80">
        <v>7.0000000000000007E-2</v>
      </c>
      <c r="N15" s="81">
        <f t="shared" si="4"/>
        <v>0</v>
      </c>
      <c r="O15" s="81">
        <f t="shared" si="5"/>
        <v>1400.9919</v>
      </c>
      <c r="P15" s="80">
        <v>0.08</v>
      </c>
      <c r="Q15" s="78">
        <f t="shared" si="1"/>
        <v>112.079352</v>
      </c>
      <c r="R15" s="78">
        <f t="shared" si="7"/>
        <v>0</v>
      </c>
      <c r="S15" s="78">
        <f t="shared" si="2"/>
        <v>0</v>
      </c>
    </row>
    <row r="16" spans="1:19" s="8" customFormat="1" x14ac:dyDescent="0.35">
      <c r="A16" s="8" t="s">
        <v>31</v>
      </c>
      <c r="B16" s="21"/>
      <c r="C16" s="21"/>
      <c r="D16" s="24">
        <f t="shared" si="3"/>
        <v>0</v>
      </c>
      <c r="E16" s="24"/>
      <c r="F16" s="77">
        <v>44136</v>
      </c>
      <c r="G16" s="78">
        <v>204814.74</v>
      </c>
      <c r="H16" s="78">
        <v>204814.74</v>
      </c>
      <c r="I16" s="78">
        <v>204814.74</v>
      </c>
      <c r="J16" s="78">
        <f t="shared" si="0"/>
        <v>0</v>
      </c>
      <c r="K16" s="78">
        <f t="shared" si="6"/>
        <v>0</v>
      </c>
      <c r="L16" s="79">
        <v>1</v>
      </c>
      <c r="M16" s="80">
        <v>0.1</v>
      </c>
      <c r="N16" s="81">
        <f t="shared" si="4"/>
        <v>0</v>
      </c>
      <c r="O16" s="81">
        <f t="shared" si="5"/>
        <v>20481.474000000002</v>
      </c>
      <c r="P16" s="80">
        <v>0.15</v>
      </c>
      <c r="Q16" s="78">
        <f t="shared" si="1"/>
        <v>3072.2211000000002</v>
      </c>
      <c r="R16" s="78">
        <f t="shared" si="7"/>
        <v>0</v>
      </c>
      <c r="S16" s="78">
        <f t="shared" si="2"/>
        <v>0</v>
      </c>
    </row>
    <row r="17" spans="1:19" s="8" customFormat="1" x14ac:dyDescent="0.35">
      <c r="A17" s="8" t="s">
        <v>26</v>
      </c>
      <c r="B17" s="21"/>
      <c r="C17" s="21"/>
      <c r="D17" s="24">
        <f t="shared" si="3"/>
        <v>0</v>
      </c>
      <c r="E17" s="24"/>
      <c r="F17" s="77">
        <v>43956</v>
      </c>
      <c r="G17" s="78">
        <v>215435.79</v>
      </c>
      <c r="H17" s="78">
        <v>215435.79</v>
      </c>
      <c r="I17" s="78">
        <v>215435.79</v>
      </c>
      <c r="J17" s="78">
        <f t="shared" si="0"/>
        <v>0</v>
      </c>
      <c r="K17" s="78">
        <f t="shared" si="6"/>
        <v>0</v>
      </c>
      <c r="L17" s="79">
        <v>0.5</v>
      </c>
      <c r="M17" s="80">
        <v>0.1</v>
      </c>
      <c r="N17" s="81">
        <f t="shared" si="4"/>
        <v>0</v>
      </c>
      <c r="O17" s="81">
        <f>L13*G13*M13</f>
        <v>2000</v>
      </c>
      <c r="P17" s="80">
        <v>0.08</v>
      </c>
      <c r="Q17" s="78">
        <f t="shared" si="1"/>
        <v>861.7431600000001</v>
      </c>
      <c r="R17" s="78">
        <f t="shared" si="7"/>
        <v>0</v>
      </c>
      <c r="S17" s="78">
        <f t="shared" si="2"/>
        <v>0</v>
      </c>
    </row>
    <row r="18" spans="1:19" s="8" customFormat="1" x14ac:dyDescent="0.35">
      <c r="A18" s="8" t="s">
        <v>43</v>
      </c>
      <c r="B18" s="21"/>
      <c r="C18" s="21"/>
      <c r="D18" s="24">
        <f t="shared" si="3"/>
        <v>-100</v>
      </c>
      <c r="E18" s="24"/>
      <c r="F18" s="77">
        <v>44165</v>
      </c>
      <c r="G18" s="78">
        <v>90000</v>
      </c>
      <c r="H18" s="78">
        <v>0</v>
      </c>
      <c r="I18" s="78">
        <v>0</v>
      </c>
      <c r="J18" s="78">
        <v>0</v>
      </c>
      <c r="K18" s="78">
        <f t="shared" si="6"/>
        <v>0</v>
      </c>
      <c r="L18" s="79">
        <v>0.75</v>
      </c>
      <c r="M18" s="80">
        <v>0.1</v>
      </c>
      <c r="N18" s="81">
        <f t="shared" si="4"/>
        <v>0</v>
      </c>
      <c r="O18" s="81">
        <v>0</v>
      </c>
      <c r="P18" s="80">
        <v>0.15</v>
      </c>
      <c r="Q18" s="78">
        <f t="shared" si="1"/>
        <v>0</v>
      </c>
      <c r="R18" s="78">
        <f>J18*L18*M18*P18</f>
        <v>0</v>
      </c>
      <c r="S18" s="78">
        <f t="shared" si="2"/>
        <v>0</v>
      </c>
    </row>
    <row r="19" spans="1:19" s="8" customFormat="1" x14ac:dyDescent="0.35">
      <c r="A19" s="8" t="s">
        <v>42</v>
      </c>
      <c r="B19" s="21"/>
      <c r="C19" s="21"/>
      <c r="D19" s="24">
        <f t="shared" si="3"/>
        <v>0</v>
      </c>
      <c r="E19" s="24"/>
      <c r="F19" s="77">
        <v>44152</v>
      </c>
      <c r="G19" s="78">
        <v>238651.54</v>
      </c>
      <c r="H19" s="78">
        <v>238651.54</v>
      </c>
      <c r="I19" s="78">
        <v>238651.54</v>
      </c>
      <c r="J19" s="78">
        <f t="shared" si="0"/>
        <v>0</v>
      </c>
      <c r="K19" s="78">
        <f t="shared" si="6"/>
        <v>0</v>
      </c>
      <c r="L19" s="79">
        <v>1</v>
      </c>
      <c r="M19" s="80">
        <v>0.09</v>
      </c>
      <c r="N19" s="81">
        <f t="shared" si="4"/>
        <v>0</v>
      </c>
      <c r="O19" s="81">
        <f t="shared" si="5"/>
        <v>21478.638599999998</v>
      </c>
      <c r="P19" s="80">
        <v>0.15</v>
      </c>
      <c r="Q19" s="78">
        <f t="shared" si="1"/>
        <v>3221.7957899999997</v>
      </c>
      <c r="R19" s="78">
        <f t="shared" si="7"/>
        <v>0</v>
      </c>
      <c r="S19" s="78">
        <f t="shared" si="2"/>
        <v>0</v>
      </c>
    </row>
    <row r="20" spans="1:19" s="8" customFormat="1" x14ac:dyDescent="0.35">
      <c r="A20" s="8" t="s">
        <v>16</v>
      </c>
      <c r="B20" s="21"/>
      <c r="C20" s="21"/>
      <c r="D20" s="24">
        <f t="shared" si="3"/>
        <v>25</v>
      </c>
      <c r="E20" s="24"/>
      <c r="F20" s="77">
        <v>44089</v>
      </c>
      <c r="G20" s="78">
        <v>120000</v>
      </c>
      <c r="H20" s="78">
        <v>150000</v>
      </c>
      <c r="I20" s="78">
        <v>118975.58</v>
      </c>
      <c r="J20" s="78">
        <f t="shared" si="0"/>
        <v>1024.4199999999983</v>
      </c>
      <c r="K20" s="78">
        <f t="shared" si="6"/>
        <v>31024.42</v>
      </c>
      <c r="L20" s="79">
        <v>1</v>
      </c>
      <c r="M20" s="80">
        <v>0.1</v>
      </c>
      <c r="N20" s="81">
        <f t="shared" si="4"/>
        <v>102.44199999999984</v>
      </c>
      <c r="O20" s="81">
        <f t="shared" si="5"/>
        <v>12000</v>
      </c>
      <c r="P20" s="80">
        <v>0.15</v>
      </c>
      <c r="Q20" s="78">
        <f t="shared" si="1"/>
        <v>1784.6337000000001</v>
      </c>
      <c r="R20" s="78">
        <f t="shared" si="7"/>
        <v>15.366299999999974</v>
      </c>
      <c r="S20" s="78">
        <f t="shared" si="2"/>
        <v>465.36629999999997</v>
      </c>
    </row>
    <row r="21" spans="1:19" s="8" customFormat="1" x14ac:dyDescent="0.35">
      <c r="A21" s="8" t="s">
        <v>40</v>
      </c>
      <c r="B21" s="21"/>
      <c r="C21" s="21"/>
      <c r="D21" s="24">
        <f t="shared" si="3"/>
        <v>0</v>
      </c>
      <c r="E21" s="24"/>
      <c r="F21" s="77">
        <v>44034</v>
      </c>
      <c r="G21" s="78">
        <v>60901.96</v>
      </c>
      <c r="H21" s="78">
        <v>60901.96</v>
      </c>
      <c r="I21" s="78">
        <v>60901.96</v>
      </c>
      <c r="J21" s="78">
        <v>60901.96</v>
      </c>
      <c r="K21" s="78">
        <f t="shared" si="6"/>
        <v>0</v>
      </c>
      <c r="L21" s="79">
        <v>1</v>
      </c>
      <c r="M21" s="80">
        <v>0.1</v>
      </c>
      <c r="N21" s="81">
        <f t="shared" si="4"/>
        <v>6090.1959999999999</v>
      </c>
      <c r="O21" s="81">
        <f t="shared" si="5"/>
        <v>6090.1959999999999</v>
      </c>
      <c r="P21" s="80">
        <v>0.08</v>
      </c>
      <c r="Q21" s="78">
        <f t="shared" si="1"/>
        <v>487.21568000000002</v>
      </c>
      <c r="R21" s="78">
        <v>0</v>
      </c>
      <c r="S21" s="78">
        <f t="shared" si="2"/>
        <v>0</v>
      </c>
    </row>
    <row r="22" spans="1:19" s="8" customFormat="1" x14ac:dyDescent="0.35">
      <c r="A22" s="8" t="s">
        <v>44</v>
      </c>
      <c r="B22" s="21"/>
      <c r="C22" s="21"/>
      <c r="D22" s="24">
        <f t="shared" si="3"/>
        <v>0</v>
      </c>
      <c r="E22" s="24"/>
      <c r="F22" s="77">
        <v>44165</v>
      </c>
      <c r="G22" s="78">
        <v>1036948.72</v>
      </c>
      <c r="H22" s="78">
        <v>1036948.72</v>
      </c>
      <c r="I22" s="78">
        <v>1036948.72</v>
      </c>
      <c r="J22" s="78">
        <f t="shared" ref="J22:J36" si="8">G22-I22</f>
        <v>0</v>
      </c>
      <c r="K22" s="78">
        <f t="shared" si="6"/>
        <v>0</v>
      </c>
      <c r="L22" s="79">
        <v>0.5</v>
      </c>
      <c r="M22" s="80">
        <v>0.06</v>
      </c>
      <c r="N22" s="81">
        <f t="shared" si="4"/>
        <v>0</v>
      </c>
      <c r="O22" s="81">
        <f t="shared" si="5"/>
        <v>31108.461599999999</v>
      </c>
      <c r="P22" s="80">
        <v>0.15</v>
      </c>
      <c r="Q22" s="78">
        <f t="shared" si="1"/>
        <v>4666.2692399999996</v>
      </c>
      <c r="R22" s="78">
        <f t="shared" ref="R22:R36" si="9">J22*L22*M22*P22</f>
        <v>0</v>
      </c>
      <c r="S22" s="78">
        <f t="shared" si="2"/>
        <v>0</v>
      </c>
    </row>
    <row r="23" spans="1:19" s="8" customFormat="1" x14ac:dyDescent="0.35">
      <c r="A23" s="8" t="s">
        <v>34</v>
      </c>
      <c r="B23" s="21"/>
      <c r="C23" s="21"/>
      <c r="D23" s="24">
        <f t="shared" si="3"/>
        <v>-10</v>
      </c>
      <c r="E23" s="24"/>
      <c r="F23" s="77">
        <v>44115</v>
      </c>
      <c r="G23" s="78">
        <v>200000</v>
      </c>
      <c r="H23" s="78">
        <v>180000</v>
      </c>
      <c r="I23" s="78">
        <v>39701.120000000003</v>
      </c>
      <c r="J23" s="78">
        <f t="shared" si="8"/>
        <v>160298.88</v>
      </c>
      <c r="K23" s="78">
        <f t="shared" si="6"/>
        <v>140298.88</v>
      </c>
      <c r="L23" s="79">
        <v>1</v>
      </c>
      <c r="M23" s="80">
        <v>0.1</v>
      </c>
      <c r="N23" s="81">
        <f t="shared" si="4"/>
        <v>16029.888000000001</v>
      </c>
      <c r="O23" s="81">
        <f t="shared" si="5"/>
        <v>20000</v>
      </c>
      <c r="P23" s="80">
        <v>0.15</v>
      </c>
      <c r="Q23" s="78">
        <f t="shared" si="1"/>
        <v>595.5168000000001</v>
      </c>
      <c r="R23" s="78">
        <f t="shared" si="9"/>
        <v>2404.4832000000001</v>
      </c>
      <c r="S23" s="78">
        <f t="shared" si="2"/>
        <v>2104.4832000000001</v>
      </c>
    </row>
    <row r="24" spans="1:19" s="8" customFormat="1" x14ac:dyDescent="0.35">
      <c r="A24" s="8" t="s">
        <v>7</v>
      </c>
      <c r="B24" s="21"/>
      <c r="C24" s="21"/>
      <c r="D24" s="24">
        <f t="shared" si="3"/>
        <v>0</v>
      </c>
      <c r="E24" s="24"/>
      <c r="F24" s="82"/>
      <c r="G24" s="78">
        <v>70000</v>
      </c>
      <c r="H24" s="78">
        <v>70000</v>
      </c>
      <c r="I24" s="78">
        <v>0</v>
      </c>
      <c r="J24" s="78">
        <f t="shared" si="8"/>
        <v>70000</v>
      </c>
      <c r="K24" s="78">
        <f t="shared" si="6"/>
        <v>70000</v>
      </c>
      <c r="L24" s="79"/>
      <c r="M24" s="80"/>
      <c r="N24" s="81">
        <f t="shared" si="4"/>
        <v>0</v>
      </c>
      <c r="O24" s="81">
        <f t="shared" si="5"/>
        <v>0</v>
      </c>
      <c r="P24" s="80"/>
      <c r="Q24" s="78">
        <f t="shared" si="1"/>
        <v>0</v>
      </c>
      <c r="R24" s="78">
        <f t="shared" si="9"/>
        <v>0</v>
      </c>
      <c r="S24" s="78">
        <f t="shared" si="2"/>
        <v>0</v>
      </c>
    </row>
    <row r="25" spans="1:19" s="8" customFormat="1" x14ac:dyDescent="0.35">
      <c r="A25" s="8" t="s">
        <v>39</v>
      </c>
      <c r="B25" s="21"/>
      <c r="C25" s="21"/>
      <c r="D25" s="24">
        <f t="shared" si="3"/>
        <v>0</v>
      </c>
      <c r="E25" s="24"/>
      <c r="F25" s="77">
        <v>44141</v>
      </c>
      <c r="G25" s="78">
        <v>250000</v>
      </c>
      <c r="H25" s="78">
        <v>250000</v>
      </c>
      <c r="I25" s="78">
        <v>189546.66</v>
      </c>
      <c r="J25" s="78">
        <f t="shared" si="8"/>
        <v>60453.34</v>
      </c>
      <c r="K25" s="78">
        <f t="shared" si="6"/>
        <v>60453.34</v>
      </c>
      <c r="L25" s="79">
        <v>1</v>
      </c>
      <c r="M25" s="80">
        <v>0.05</v>
      </c>
      <c r="N25" s="81">
        <f t="shared" si="4"/>
        <v>3022.6669999999999</v>
      </c>
      <c r="O25" s="81">
        <f t="shared" si="5"/>
        <v>12500</v>
      </c>
      <c r="P25" s="80">
        <v>0.15</v>
      </c>
      <c r="Q25" s="78">
        <f t="shared" si="1"/>
        <v>1421.59995</v>
      </c>
      <c r="R25" s="78">
        <f t="shared" si="9"/>
        <v>453.40004999999996</v>
      </c>
      <c r="S25" s="78">
        <f t="shared" si="2"/>
        <v>453.40004999999996</v>
      </c>
    </row>
    <row r="26" spans="1:19" s="8" customFormat="1" x14ac:dyDescent="0.35">
      <c r="A26" s="8" t="s">
        <v>27</v>
      </c>
      <c r="B26" s="21"/>
      <c r="C26" s="21"/>
      <c r="D26" s="24">
        <f t="shared" si="3"/>
        <v>0</v>
      </c>
      <c r="E26" s="24"/>
      <c r="F26" s="77">
        <v>43953</v>
      </c>
      <c r="G26" s="78">
        <v>22608</v>
      </c>
      <c r="H26" s="78">
        <v>22608</v>
      </c>
      <c r="I26" s="78">
        <v>22608</v>
      </c>
      <c r="J26" s="78">
        <f t="shared" si="8"/>
        <v>0</v>
      </c>
      <c r="K26" s="78">
        <f t="shared" si="6"/>
        <v>0</v>
      </c>
      <c r="L26" s="79">
        <v>1</v>
      </c>
      <c r="M26" s="80">
        <v>0.1</v>
      </c>
      <c r="N26" s="81">
        <f t="shared" si="4"/>
        <v>0</v>
      </c>
      <c r="O26" s="81">
        <f t="shared" si="5"/>
        <v>2260.8000000000002</v>
      </c>
      <c r="P26" s="80">
        <v>0.08</v>
      </c>
      <c r="Q26" s="78">
        <f t="shared" si="1"/>
        <v>180.864</v>
      </c>
      <c r="R26" s="78">
        <f t="shared" si="9"/>
        <v>0</v>
      </c>
      <c r="S26" s="78">
        <f t="shared" si="2"/>
        <v>0</v>
      </c>
    </row>
    <row r="27" spans="1:19" s="8" customFormat="1" x14ac:dyDescent="0.35">
      <c r="A27" s="8" t="s">
        <v>8</v>
      </c>
      <c r="B27" s="21"/>
      <c r="C27" s="21"/>
      <c r="D27" s="24">
        <f t="shared" si="3"/>
        <v>0</v>
      </c>
      <c r="E27" s="24"/>
      <c r="F27" s="77">
        <v>43942</v>
      </c>
      <c r="G27" s="78">
        <v>71366.13</v>
      </c>
      <c r="H27" s="78">
        <v>71366.13</v>
      </c>
      <c r="I27" s="78">
        <v>71366.13</v>
      </c>
      <c r="J27" s="78">
        <f t="shared" si="8"/>
        <v>0</v>
      </c>
      <c r="K27" s="78">
        <f t="shared" si="6"/>
        <v>0</v>
      </c>
      <c r="L27" s="79">
        <v>1</v>
      </c>
      <c r="M27" s="80">
        <v>0.1</v>
      </c>
      <c r="N27" s="81">
        <f t="shared" si="4"/>
        <v>0</v>
      </c>
      <c r="O27" s="81">
        <f t="shared" si="5"/>
        <v>7136.6130000000012</v>
      </c>
      <c r="P27" s="80">
        <v>0.08</v>
      </c>
      <c r="Q27" s="78">
        <f t="shared" si="1"/>
        <v>570.9290400000001</v>
      </c>
      <c r="R27" s="78">
        <f t="shared" si="9"/>
        <v>0</v>
      </c>
      <c r="S27" s="78">
        <f t="shared" si="2"/>
        <v>0</v>
      </c>
    </row>
    <row r="28" spans="1:19" s="8" customFormat="1" x14ac:dyDescent="0.35">
      <c r="A28" s="8" t="s">
        <v>9</v>
      </c>
      <c r="B28" s="21"/>
      <c r="C28" s="21"/>
      <c r="D28" s="24">
        <f t="shared" si="3"/>
        <v>18.966908484188238</v>
      </c>
      <c r="E28" s="24"/>
      <c r="F28" s="77">
        <v>44074</v>
      </c>
      <c r="G28" s="78">
        <v>162333.15</v>
      </c>
      <c r="H28" s="78">
        <v>193122.73</v>
      </c>
      <c r="I28" s="78">
        <v>193122.73</v>
      </c>
      <c r="J28" s="78">
        <v>0</v>
      </c>
      <c r="K28" s="78">
        <f t="shared" si="6"/>
        <v>0</v>
      </c>
      <c r="L28" s="79">
        <v>1</v>
      </c>
      <c r="M28" s="80">
        <v>0.08</v>
      </c>
      <c r="N28" s="81">
        <f t="shared" si="4"/>
        <v>0</v>
      </c>
      <c r="O28" s="81">
        <f t="shared" si="5"/>
        <v>12986.652</v>
      </c>
      <c r="P28" s="80">
        <v>0.15</v>
      </c>
      <c r="Q28" s="78">
        <f t="shared" si="1"/>
        <v>2317.4727600000001</v>
      </c>
      <c r="R28" s="78">
        <f t="shared" si="9"/>
        <v>0</v>
      </c>
      <c r="S28" s="78">
        <f t="shared" si="2"/>
        <v>0</v>
      </c>
    </row>
    <row r="29" spans="1:19" s="8" customFormat="1" x14ac:dyDescent="0.35">
      <c r="A29" s="8" t="s">
        <v>29</v>
      </c>
      <c r="B29" s="21"/>
      <c r="C29" s="21"/>
      <c r="D29" s="24">
        <f t="shared" si="3"/>
        <v>0</v>
      </c>
      <c r="E29" s="24"/>
      <c r="F29" s="77">
        <v>44125</v>
      </c>
      <c r="G29" s="78">
        <v>504997.83</v>
      </c>
      <c r="H29" s="78">
        <v>504997.83</v>
      </c>
      <c r="I29" s="78">
        <v>504997.83</v>
      </c>
      <c r="J29" s="78">
        <f>G29-I29</f>
        <v>0</v>
      </c>
      <c r="K29" s="78">
        <f t="shared" si="6"/>
        <v>0</v>
      </c>
      <c r="L29" s="79">
        <v>1</v>
      </c>
      <c r="M29" s="80">
        <v>0.08</v>
      </c>
      <c r="N29" s="81">
        <f t="shared" si="4"/>
        <v>0</v>
      </c>
      <c r="O29" s="81">
        <f t="shared" si="5"/>
        <v>40399.826400000005</v>
      </c>
      <c r="P29" s="80">
        <v>0.15</v>
      </c>
      <c r="Q29" s="78">
        <f t="shared" si="1"/>
        <v>6059.9739600000003</v>
      </c>
      <c r="R29" s="78">
        <f t="shared" si="9"/>
        <v>0</v>
      </c>
      <c r="S29" s="78">
        <f t="shared" si="2"/>
        <v>0</v>
      </c>
    </row>
    <row r="30" spans="1:19" s="8" customFormat="1" x14ac:dyDescent="0.35">
      <c r="A30" s="8" t="s">
        <v>10</v>
      </c>
      <c r="B30" s="21"/>
      <c r="C30" s="21"/>
      <c r="D30" s="26" t="s">
        <v>364</v>
      </c>
      <c r="E30" s="24"/>
      <c r="F30" s="77">
        <v>44026</v>
      </c>
      <c r="G30" s="78">
        <v>0</v>
      </c>
      <c r="H30" s="78">
        <v>0</v>
      </c>
      <c r="I30" s="78">
        <v>0</v>
      </c>
      <c r="J30" s="78">
        <f t="shared" si="8"/>
        <v>0</v>
      </c>
      <c r="K30" s="78">
        <f t="shared" si="6"/>
        <v>0</v>
      </c>
      <c r="L30" s="79">
        <v>0.75</v>
      </c>
      <c r="M30" s="80">
        <v>7.0000000000000007E-2</v>
      </c>
      <c r="N30" s="81">
        <f t="shared" si="4"/>
        <v>0</v>
      </c>
      <c r="O30" s="81">
        <f t="shared" si="5"/>
        <v>0</v>
      </c>
      <c r="P30" s="80">
        <v>0.08</v>
      </c>
      <c r="Q30" s="78">
        <f t="shared" si="1"/>
        <v>0</v>
      </c>
      <c r="R30" s="78">
        <f t="shared" si="9"/>
        <v>0</v>
      </c>
      <c r="S30" s="78">
        <f t="shared" si="2"/>
        <v>0</v>
      </c>
    </row>
    <row r="31" spans="1:19" s="8" customFormat="1" x14ac:dyDescent="0.35">
      <c r="A31" s="8" t="s">
        <v>10</v>
      </c>
      <c r="B31" s="21"/>
      <c r="C31" s="21"/>
      <c r="D31" s="24">
        <f t="shared" si="3"/>
        <v>0</v>
      </c>
      <c r="E31" s="24"/>
      <c r="F31" s="77">
        <v>43986</v>
      </c>
      <c r="G31" s="78">
        <v>44857.120000000003</v>
      </c>
      <c r="H31" s="78">
        <v>44857.120000000003</v>
      </c>
      <c r="I31" s="78">
        <v>44857.120000000003</v>
      </c>
      <c r="J31" s="78">
        <f t="shared" si="8"/>
        <v>0</v>
      </c>
      <c r="K31" s="78">
        <f t="shared" si="6"/>
        <v>0</v>
      </c>
      <c r="L31" s="79">
        <v>1</v>
      </c>
      <c r="M31" s="80">
        <v>7.0000000000000007E-2</v>
      </c>
      <c r="N31" s="81">
        <f t="shared" si="4"/>
        <v>0</v>
      </c>
      <c r="O31" s="81">
        <f t="shared" si="5"/>
        <v>3139.9984000000004</v>
      </c>
      <c r="P31" s="80">
        <v>0.08</v>
      </c>
      <c r="Q31" s="78">
        <f t="shared" si="1"/>
        <v>251.19987200000003</v>
      </c>
      <c r="R31" s="78">
        <f t="shared" si="9"/>
        <v>0</v>
      </c>
      <c r="S31" s="78">
        <f t="shared" si="2"/>
        <v>0</v>
      </c>
    </row>
    <row r="32" spans="1:19" s="8" customFormat="1" x14ac:dyDescent="0.35">
      <c r="A32" s="8" t="s">
        <v>11</v>
      </c>
      <c r="B32" s="21"/>
      <c r="C32" s="21"/>
      <c r="D32" s="24">
        <f t="shared" si="3"/>
        <v>0</v>
      </c>
      <c r="E32" s="24"/>
      <c r="F32" s="77">
        <v>44102</v>
      </c>
      <c r="G32" s="78">
        <v>56915.12</v>
      </c>
      <c r="H32" s="78">
        <v>56915.12</v>
      </c>
      <c r="I32" s="78">
        <v>56915.12</v>
      </c>
      <c r="J32" s="78">
        <v>0</v>
      </c>
      <c r="K32" s="78">
        <f t="shared" si="6"/>
        <v>0</v>
      </c>
      <c r="L32" s="79">
        <v>1</v>
      </c>
      <c r="M32" s="80">
        <v>0.08</v>
      </c>
      <c r="N32" s="81">
        <f t="shared" si="4"/>
        <v>0</v>
      </c>
      <c r="O32" s="81">
        <f t="shared" si="5"/>
        <v>4553.2096000000001</v>
      </c>
      <c r="P32" s="80">
        <v>0.15</v>
      </c>
      <c r="Q32" s="78">
        <f t="shared" si="1"/>
        <v>682.98144000000002</v>
      </c>
      <c r="R32" s="78">
        <f t="shared" si="9"/>
        <v>0</v>
      </c>
      <c r="S32" s="78">
        <f t="shared" si="2"/>
        <v>0</v>
      </c>
    </row>
    <row r="33" spans="1:19" s="8" customFormat="1" x14ac:dyDescent="0.35">
      <c r="A33" s="8" t="s">
        <v>12</v>
      </c>
      <c r="B33" s="21"/>
      <c r="C33" s="21"/>
      <c r="D33" s="24">
        <f t="shared" si="3"/>
        <v>8.1326034207252356</v>
      </c>
      <c r="E33" s="24"/>
      <c r="F33" s="77">
        <v>43976</v>
      </c>
      <c r="G33" s="78">
        <v>342172.47</v>
      </c>
      <c r="H33" s="78">
        <v>370000</v>
      </c>
      <c r="I33" s="78">
        <v>342172.47</v>
      </c>
      <c r="J33" s="78">
        <f t="shared" si="8"/>
        <v>0</v>
      </c>
      <c r="K33" s="78">
        <f t="shared" si="6"/>
        <v>27827.530000000028</v>
      </c>
      <c r="L33" s="79">
        <v>1</v>
      </c>
      <c r="M33" s="80">
        <v>0.1</v>
      </c>
      <c r="N33" s="81">
        <f t="shared" si="4"/>
        <v>0</v>
      </c>
      <c r="O33" s="81">
        <f t="shared" si="5"/>
        <v>34217.246999999996</v>
      </c>
      <c r="P33" s="80">
        <v>0.08</v>
      </c>
      <c r="Q33" s="78">
        <f t="shared" si="1"/>
        <v>2737.3797599999998</v>
      </c>
      <c r="R33" s="78">
        <f t="shared" si="9"/>
        <v>0</v>
      </c>
      <c r="S33" s="78">
        <f t="shared" si="2"/>
        <v>222.62024000000022</v>
      </c>
    </row>
    <row r="34" spans="1:19" s="8" customFormat="1" x14ac:dyDescent="0.35">
      <c r="A34" s="8" t="s">
        <v>23</v>
      </c>
      <c r="B34" s="21"/>
      <c r="C34" s="21"/>
      <c r="D34" s="24">
        <f t="shared" si="3"/>
        <v>0</v>
      </c>
      <c r="E34" s="24"/>
      <c r="F34" s="77">
        <v>43902</v>
      </c>
      <c r="G34" s="78">
        <v>48231.51</v>
      </c>
      <c r="H34" s="78">
        <v>48231.51</v>
      </c>
      <c r="I34" s="78">
        <v>48231.51</v>
      </c>
      <c r="J34" s="78">
        <f t="shared" si="8"/>
        <v>0</v>
      </c>
      <c r="K34" s="78">
        <f t="shared" si="6"/>
        <v>0</v>
      </c>
      <c r="L34" s="79">
        <v>1</v>
      </c>
      <c r="M34" s="80">
        <v>0.1</v>
      </c>
      <c r="N34" s="81">
        <f t="shared" si="4"/>
        <v>0</v>
      </c>
      <c r="O34" s="81">
        <f t="shared" si="5"/>
        <v>4823.1510000000007</v>
      </c>
      <c r="P34" s="80">
        <v>0.08</v>
      </c>
      <c r="Q34" s="78">
        <f t="shared" si="1"/>
        <v>385.85208000000006</v>
      </c>
      <c r="R34" s="78">
        <f t="shared" si="9"/>
        <v>0</v>
      </c>
      <c r="S34" s="78">
        <f t="shared" si="2"/>
        <v>0</v>
      </c>
    </row>
    <row r="35" spans="1:19" s="8" customFormat="1" x14ac:dyDescent="0.35">
      <c r="A35" s="8" t="s">
        <v>13</v>
      </c>
      <c r="B35" s="21"/>
      <c r="C35" s="21"/>
      <c r="D35" s="24">
        <f t="shared" si="3"/>
        <v>0</v>
      </c>
      <c r="E35" s="24"/>
      <c r="F35" s="77">
        <v>43927</v>
      </c>
      <c r="G35" s="78">
        <v>750000</v>
      </c>
      <c r="H35" s="78">
        <v>750000</v>
      </c>
      <c r="I35" s="78">
        <v>639310.91</v>
      </c>
      <c r="J35" s="78">
        <f t="shared" si="8"/>
        <v>110689.08999999997</v>
      </c>
      <c r="K35" s="78">
        <f t="shared" si="6"/>
        <v>110689.08999999997</v>
      </c>
      <c r="L35" s="79">
        <v>0.25</v>
      </c>
      <c r="M35" s="80">
        <v>0.04</v>
      </c>
      <c r="N35" s="81">
        <f t="shared" si="4"/>
        <v>4427.5635999999986</v>
      </c>
      <c r="O35" s="81">
        <f t="shared" si="5"/>
        <v>7500</v>
      </c>
      <c r="P35" s="80">
        <v>0.08</v>
      </c>
      <c r="Q35" s="78">
        <f t="shared" si="1"/>
        <v>511.44872800000007</v>
      </c>
      <c r="R35" s="78">
        <f t="shared" si="9"/>
        <v>88.551271999999969</v>
      </c>
      <c r="S35" s="78">
        <f t="shared" si="2"/>
        <v>88.551271999999969</v>
      </c>
    </row>
    <row r="36" spans="1:19" s="8" customFormat="1" x14ac:dyDescent="0.35">
      <c r="A36" s="8" t="s">
        <v>18</v>
      </c>
      <c r="B36" s="21"/>
      <c r="C36" s="21"/>
      <c r="D36" s="24">
        <f t="shared" si="3"/>
        <v>0</v>
      </c>
      <c r="E36" s="24"/>
      <c r="F36" s="77">
        <v>44109</v>
      </c>
      <c r="G36" s="78">
        <v>197984.64000000001</v>
      </c>
      <c r="H36" s="78">
        <v>197984.64000000001</v>
      </c>
      <c r="I36" s="78">
        <v>197984.64000000001</v>
      </c>
      <c r="J36" s="78">
        <f t="shared" si="8"/>
        <v>0</v>
      </c>
      <c r="K36" s="78">
        <f t="shared" si="6"/>
        <v>0</v>
      </c>
      <c r="L36" s="79">
        <v>1</v>
      </c>
      <c r="M36" s="80">
        <v>0.09</v>
      </c>
      <c r="N36" s="81">
        <f t="shared" si="4"/>
        <v>0</v>
      </c>
      <c r="O36" s="81">
        <f t="shared" si="5"/>
        <v>17818.617600000001</v>
      </c>
      <c r="P36" s="80">
        <v>0.15</v>
      </c>
      <c r="Q36" s="78">
        <f t="shared" si="1"/>
        <v>2672.7926400000001</v>
      </c>
      <c r="R36" s="78">
        <f t="shared" si="9"/>
        <v>0</v>
      </c>
      <c r="S36" s="78">
        <f t="shared" si="2"/>
        <v>0</v>
      </c>
    </row>
    <row r="37" spans="1:19" x14ac:dyDescent="0.35">
      <c r="F37" s="4"/>
      <c r="G37" s="3">
        <f>SUM(G2:G36)</f>
        <v>6140721.0999999996</v>
      </c>
      <c r="H37" s="3">
        <f>SUM(H2:H36)</f>
        <v>6286244.8899999997</v>
      </c>
      <c r="I37" s="1">
        <f>SUM(I2:I36)</f>
        <v>5276400.1900000004</v>
      </c>
      <c r="J37" s="1">
        <f>SUM(J2:J36)</f>
        <v>920297.42999999993</v>
      </c>
      <c r="K37" s="1">
        <f>SUM(K2:K36)</f>
        <v>1042484.3200000001</v>
      </c>
      <c r="L37" s="1"/>
      <c r="N37" s="14">
        <f>SUM(N2:N36)</f>
        <v>69894.144400000005</v>
      </c>
      <c r="O37" s="14">
        <f>SUM(O2:O36)</f>
        <v>376924.76939999999</v>
      </c>
      <c r="Q37" s="1">
        <f>SUM(Q2:Q36)</f>
        <v>41628.955723000006</v>
      </c>
      <c r="R37" s="1">
        <f>SUM(R2:R36)</f>
        <v>7753.5153049999999</v>
      </c>
      <c r="S37" s="1">
        <f>SUM(S2:S36)</f>
        <v>10243.372795000001</v>
      </c>
    </row>
    <row r="38" spans="1:19" x14ac:dyDescent="0.35">
      <c r="F38" s="4"/>
      <c r="G38" s="1">
        <f>AVERAGE(G2:G29,G31:G36)</f>
        <v>180609.44411764704</v>
      </c>
      <c r="H38" s="1">
        <f>AVERAGE(H31:H36,H20:H29,H20:H29,H19,H2:H17)</f>
        <v>205260.23860465121</v>
      </c>
      <c r="M38" s="2">
        <f>AVERAGE(M25:M36,M3:M23,M2)</f>
        <v>8.7647058823529439E-2</v>
      </c>
      <c r="O38" s="15">
        <f>O37*0.25</f>
        <v>94231.192349999998</v>
      </c>
      <c r="Q38" s="1"/>
    </row>
    <row r="40" spans="1:19" x14ac:dyDescent="0.35">
      <c r="F40" s="4"/>
      <c r="J40" s="1"/>
      <c r="K40" s="1"/>
      <c r="M40"/>
      <c r="N40"/>
      <c r="O40"/>
    </row>
    <row r="41" spans="1:19" x14ac:dyDescent="0.35">
      <c r="F41" s="4"/>
      <c r="J41" s="1"/>
      <c r="K41" s="1"/>
      <c r="M41"/>
      <c r="N41"/>
      <c r="O41"/>
    </row>
    <row r="43" spans="1:19" x14ac:dyDescent="0.35">
      <c r="B43" s="21" t="s">
        <v>257</v>
      </c>
      <c r="C43" s="21"/>
      <c r="D43" s="24"/>
      <c r="E43" s="83"/>
    </row>
    <row r="44" spans="1:19" x14ac:dyDescent="0.35">
      <c r="B44" s="21" t="s">
        <v>262</v>
      </c>
      <c r="C44" s="21"/>
      <c r="D44" s="24"/>
      <c r="E44" s="83"/>
    </row>
    <row r="45" spans="1:19" x14ac:dyDescent="0.35">
      <c r="B45" s="21" t="s">
        <v>258</v>
      </c>
      <c r="C45" s="21"/>
      <c r="D45" s="24"/>
      <c r="E45" s="83"/>
    </row>
    <row r="46" spans="1:19" x14ac:dyDescent="0.35">
      <c r="B46" s="21" t="s">
        <v>259</v>
      </c>
      <c r="C46" s="21"/>
      <c r="D46" s="24"/>
      <c r="E46" s="83"/>
    </row>
    <row r="47" spans="1:19" x14ac:dyDescent="0.35">
      <c r="B47" s="21" t="s">
        <v>260</v>
      </c>
      <c r="C47" s="21"/>
      <c r="D47" s="24"/>
      <c r="E47" s="83"/>
    </row>
    <row r="48" spans="1:19" x14ac:dyDescent="0.35">
      <c r="B48" s="21" t="s">
        <v>261</v>
      </c>
      <c r="C48" s="21"/>
      <c r="D48" s="24"/>
      <c r="E48" s="83"/>
    </row>
    <row r="49" spans="2:5" x14ac:dyDescent="0.35">
      <c r="B49" s="21" t="s">
        <v>264</v>
      </c>
      <c r="C49" s="21"/>
      <c r="D49" s="24"/>
      <c r="E49" s="83"/>
    </row>
    <row r="50" spans="2:5" x14ac:dyDescent="0.35">
      <c r="B50" s="21" t="s">
        <v>263</v>
      </c>
      <c r="C50" s="21"/>
      <c r="D50" s="24"/>
      <c r="E50" s="83"/>
    </row>
    <row r="51" spans="2:5" x14ac:dyDescent="0.35">
      <c r="B51" s="21" t="s">
        <v>265</v>
      </c>
      <c r="C51" s="21"/>
      <c r="D51" s="24"/>
      <c r="E51" s="83"/>
    </row>
    <row r="52" spans="2:5" x14ac:dyDescent="0.35">
      <c r="B52" s="21"/>
      <c r="C52" s="21"/>
      <c r="D52" s="24"/>
      <c r="E52" s="83"/>
    </row>
    <row r="53" spans="2:5" x14ac:dyDescent="0.35">
      <c r="B53" s="21"/>
      <c r="C53" s="21"/>
      <c r="D53" s="24"/>
      <c r="E53" s="8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B776-7CE6-43FD-AD69-08855DF28A2D}">
  <dimension ref="A1:T48"/>
  <sheetViews>
    <sheetView topLeftCell="G1" zoomScale="101" workbookViewId="0">
      <selection activeCell="D1" sqref="D1:E1"/>
    </sheetView>
  </sheetViews>
  <sheetFormatPr defaultRowHeight="14.5" x14ac:dyDescent="0.35"/>
  <cols>
    <col min="1" max="1" width="15.81640625" bestFit="1" customWidth="1"/>
    <col min="2" max="2" width="25.54296875" customWidth="1"/>
    <col min="3" max="3" width="6.7265625" customWidth="1"/>
    <col min="4" max="5" width="25.54296875" customWidth="1"/>
    <col min="6" max="6" width="15.81640625" customWidth="1"/>
    <col min="7" max="7" width="16.453125" style="1" customWidth="1"/>
    <col min="8" max="8" width="17.54296875" style="1" customWidth="1"/>
    <col min="9" max="9" width="17.81640625" style="1" customWidth="1"/>
    <col min="10" max="11" width="17.26953125" customWidth="1"/>
    <col min="12" max="12" width="9.81640625" customWidth="1"/>
    <col min="13" max="13" width="7.1796875" style="2" customWidth="1"/>
    <col min="14" max="15" width="12.81640625" style="2" customWidth="1"/>
    <col min="16" max="16" width="9.453125" customWidth="1"/>
    <col min="17" max="17" width="12.54296875" customWidth="1"/>
    <col min="18" max="18" width="12.81640625" customWidth="1"/>
    <col min="19" max="19" width="14.1796875" customWidth="1"/>
  </cols>
  <sheetData>
    <row r="1" spans="1:19" s="8" customFormat="1" x14ac:dyDescent="0.35">
      <c r="A1" s="5" t="s">
        <v>15</v>
      </c>
      <c r="B1" s="5" t="s">
        <v>231</v>
      </c>
      <c r="C1" s="5" t="s">
        <v>356</v>
      </c>
      <c r="D1" s="22" t="s">
        <v>365</v>
      </c>
      <c r="E1" s="22" t="s">
        <v>366</v>
      </c>
      <c r="F1" s="5" t="s">
        <v>20</v>
      </c>
      <c r="G1" s="6" t="s">
        <v>80</v>
      </c>
      <c r="H1" s="6" t="s">
        <v>33</v>
      </c>
      <c r="I1" s="6" t="s">
        <v>47</v>
      </c>
      <c r="J1" s="5" t="s">
        <v>37</v>
      </c>
      <c r="K1" s="5" t="s">
        <v>38</v>
      </c>
      <c r="L1" s="5" t="s">
        <v>21</v>
      </c>
      <c r="M1" s="7" t="s">
        <v>14</v>
      </c>
      <c r="N1" s="7" t="s">
        <v>45</v>
      </c>
      <c r="O1" s="7" t="s">
        <v>46</v>
      </c>
      <c r="P1" s="5" t="s">
        <v>19</v>
      </c>
      <c r="Q1" s="5" t="s">
        <v>22</v>
      </c>
      <c r="R1" s="5" t="s">
        <v>35</v>
      </c>
      <c r="S1" s="5" t="s">
        <v>36</v>
      </c>
    </row>
    <row r="2" spans="1:19" s="8" customFormat="1" x14ac:dyDescent="0.35">
      <c r="A2" s="8" t="s">
        <v>52</v>
      </c>
      <c r="B2" s="21" t="s">
        <v>363</v>
      </c>
      <c r="C2" s="21" t="s">
        <v>358</v>
      </c>
      <c r="D2" s="24">
        <f>(H2-G2)/G2*100</f>
        <v>45.695149999999998</v>
      </c>
      <c r="E2" s="24">
        <f>(H2-G2)/G2*100</f>
        <v>45.695149999999998</v>
      </c>
      <c r="F2" s="9">
        <v>43879</v>
      </c>
      <c r="G2" s="10">
        <v>500000</v>
      </c>
      <c r="H2" s="10">
        <v>728475.75</v>
      </c>
      <c r="I2" s="10">
        <v>728475.75</v>
      </c>
      <c r="J2" s="10">
        <f>G2-I2</f>
        <v>-228475.75</v>
      </c>
      <c r="K2" s="10">
        <f>H2-I2</f>
        <v>0</v>
      </c>
      <c r="L2" s="11">
        <v>0.25</v>
      </c>
      <c r="M2" s="12">
        <v>0.1</v>
      </c>
      <c r="N2" s="13">
        <f t="shared" ref="N2:N10" si="0">J2*M2</f>
        <v>-22847.575000000001</v>
      </c>
      <c r="O2" s="13">
        <f t="shared" ref="O2:O7" si="1">L2*G2*M2</f>
        <v>12500</v>
      </c>
      <c r="P2" s="12">
        <v>0.15</v>
      </c>
      <c r="Q2" s="10">
        <f t="shared" ref="Q2:Q7" si="2">I2*L2*M2*P2</f>
        <v>2731.7840624999999</v>
      </c>
      <c r="R2" s="10">
        <f t="shared" ref="R2:R9" si="3">J2*L2*M2*P2</f>
        <v>-856.7840625</v>
      </c>
      <c r="S2" s="10">
        <f t="shared" ref="S2:S9" si="4">K2*L2*M2*P2</f>
        <v>0</v>
      </c>
    </row>
    <row r="3" spans="1:19" s="8" customFormat="1" x14ac:dyDescent="0.35">
      <c r="A3" s="8" t="s">
        <v>68</v>
      </c>
      <c r="B3" s="21"/>
      <c r="C3" s="21"/>
      <c r="D3" s="24">
        <f t="shared" ref="D3:D34" si="5">(H3-G3)/G3*100</f>
        <v>0</v>
      </c>
      <c r="E3" s="24">
        <f t="shared" ref="E3:E34" si="6">(H3-G3)/G3*100</f>
        <v>0</v>
      </c>
      <c r="F3" s="9">
        <v>44395</v>
      </c>
      <c r="G3" s="10">
        <v>275000</v>
      </c>
      <c r="H3" s="10">
        <v>275000</v>
      </c>
      <c r="I3" s="10">
        <v>147943</v>
      </c>
      <c r="J3" s="10">
        <f t="shared" ref="J3:J34" si="7">G3-I3</f>
        <v>127057</v>
      </c>
      <c r="K3" s="10">
        <f t="shared" ref="K3:K34" si="8">H3-I3</f>
        <v>127057</v>
      </c>
      <c r="L3" s="11">
        <v>1</v>
      </c>
      <c r="M3" s="12">
        <v>0.09</v>
      </c>
      <c r="N3" s="13">
        <f>J3*M3</f>
        <v>11435.13</v>
      </c>
      <c r="O3" s="13">
        <f t="shared" si="1"/>
        <v>24750</v>
      </c>
      <c r="P3" s="12">
        <v>0.15</v>
      </c>
      <c r="Q3" s="10">
        <f t="shared" si="2"/>
        <v>1997.2304999999997</v>
      </c>
      <c r="R3" s="10">
        <f>J3*L3*M3*P3</f>
        <v>1715.2694999999999</v>
      </c>
      <c r="S3" s="10">
        <f>K3*L3*M3*P3</f>
        <v>1715.2694999999999</v>
      </c>
    </row>
    <row r="4" spans="1:19" s="8" customFormat="1" x14ac:dyDescent="0.35">
      <c r="A4" s="8" t="s">
        <v>68</v>
      </c>
      <c r="B4" s="21"/>
      <c r="C4" s="21"/>
      <c r="D4" s="24">
        <f t="shared" si="5"/>
        <v>0</v>
      </c>
      <c r="E4" s="24">
        <f t="shared" si="6"/>
        <v>0</v>
      </c>
      <c r="F4" s="9">
        <v>44406</v>
      </c>
      <c r="G4" s="10">
        <v>50000</v>
      </c>
      <c r="H4" s="10">
        <v>50000</v>
      </c>
      <c r="I4" s="10">
        <v>0</v>
      </c>
      <c r="J4" s="10">
        <f t="shared" si="7"/>
        <v>50000</v>
      </c>
      <c r="K4" s="10">
        <f t="shared" si="8"/>
        <v>50000</v>
      </c>
      <c r="L4" s="11">
        <v>1</v>
      </c>
      <c r="M4" s="12">
        <v>0.09</v>
      </c>
      <c r="N4" s="13">
        <f>J4*M4</f>
        <v>4500</v>
      </c>
      <c r="O4" s="13">
        <f t="shared" si="1"/>
        <v>4500</v>
      </c>
      <c r="P4" s="12">
        <v>0.15</v>
      </c>
      <c r="Q4" s="10">
        <f t="shared" si="2"/>
        <v>0</v>
      </c>
      <c r="R4" s="10">
        <f>J4*L4*M4*P4</f>
        <v>675</v>
      </c>
      <c r="S4" s="10">
        <f>K4*L4*M4*P4</f>
        <v>675</v>
      </c>
    </row>
    <row r="5" spans="1:19" s="8" customFormat="1" x14ac:dyDescent="0.35">
      <c r="A5" s="8" t="s">
        <v>75</v>
      </c>
      <c r="B5" s="21"/>
      <c r="C5" s="21"/>
      <c r="D5" s="24">
        <f t="shared" si="5"/>
        <v>0</v>
      </c>
      <c r="E5" s="24">
        <f t="shared" si="6"/>
        <v>0</v>
      </c>
      <c r="F5" s="9">
        <v>44531</v>
      </c>
      <c r="G5" s="10">
        <v>150000</v>
      </c>
      <c r="H5" s="10">
        <v>150000</v>
      </c>
      <c r="I5" s="10">
        <v>0</v>
      </c>
      <c r="J5" s="10">
        <f t="shared" si="7"/>
        <v>150000</v>
      </c>
      <c r="K5" s="10">
        <f t="shared" si="8"/>
        <v>150000</v>
      </c>
      <c r="L5" s="11">
        <v>1</v>
      </c>
      <c r="M5" s="12">
        <v>0.1</v>
      </c>
      <c r="N5" s="13">
        <f>J5*M5</f>
        <v>15000</v>
      </c>
      <c r="O5" s="13">
        <f t="shared" si="1"/>
        <v>15000</v>
      </c>
      <c r="P5" s="12">
        <v>0.08</v>
      </c>
      <c r="Q5" s="10">
        <f t="shared" si="2"/>
        <v>0</v>
      </c>
      <c r="R5" s="10">
        <f>J5*L5*M5*P5</f>
        <v>1200</v>
      </c>
      <c r="S5" s="10">
        <f>K5*L5*M5*P5</f>
        <v>1200</v>
      </c>
    </row>
    <row r="6" spans="1:19" s="8" customFormat="1" x14ac:dyDescent="0.35">
      <c r="A6" s="8" t="s">
        <v>69</v>
      </c>
      <c r="B6" s="21"/>
      <c r="C6" s="21"/>
      <c r="D6" s="24">
        <f t="shared" si="5"/>
        <v>0</v>
      </c>
      <c r="E6" s="24">
        <f t="shared" si="6"/>
        <v>0</v>
      </c>
      <c r="F6" s="9">
        <v>44415</v>
      </c>
      <c r="G6" s="10">
        <v>155800</v>
      </c>
      <c r="H6" s="10">
        <v>155800</v>
      </c>
      <c r="I6" s="10">
        <v>155800</v>
      </c>
      <c r="J6" s="10">
        <f t="shared" si="7"/>
        <v>0</v>
      </c>
      <c r="K6" s="10">
        <f t="shared" si="8"/>
        <v>0</v>
      </c>
      <c r="L6" s="11">
        <v>1</v>
      </c>
      <c r="M6" s="12">
        <v>0.1</v>
      </c>
      <c r="N6" s="13">
        <f>J6*M6</f>
        <v>0</v>
      </c>
      <c r="O6" s="13">
        <f t="shared" si="1"/>
        <v>15580</v>
      </c>
      <c r="P6" s="12">
        <v>0.15</v>
      </c>
      <c r="Q6" s="10">
        <f t="shared" si="2"/>
        <v>2337</v>
      </c>
      <c r="R6" s="10">
        <f>J6*L6*M6*P6</f>
        <v>0</v>
      </c>
      <c r="S6" s="10">
        <f>K6*L6*M6*P6</f>
        <v>0</v>
      </c>
    </row>
    <row r="7" spans="1:19" s="8" customFormat="1" x14ac:dyDescent="0.35">
      <c r="A7" s="8" t="s">
        <v>53</v>
      </c>
      <c r="B7" s="21"/>
      <c r="C7" s="21"/>
      <c r="D7" s="24">
        <f t="shared" si="5"/>
        <v>0</v>
      </c>
      <c r="E7" s="24">
        <f t="shared" si="6"/>
        <v>0</v>
      </c>
      <c r="F7" s="9">
        <v>44247</v>
      </c>
      <c r="G7" s="10">
        <v>346258</v>
      </c>
      <c r="H7" s="10">
        <v>346258</v>
      </c>
      <c r="I7" s="10">
        <v>346258</v>
      </c>
      <c r="J7" s="10">
        <f t="shared" si="7"/>
        <v>0</v>
      </c>
      <c r="K7" s="10">
        <f t="shared" si="8"/>
        <v>0</v>
      </c>
      <c r="L7" s="11">
        <v>1</v>
      </c>
      <c r="M7" s="12">
        <v>0.1</v>
      </c>
      <c r="N7" s="13">
        <f t="shared" si="0"/>
        <v>0</v>
      </c>
      <c r="O7" s="13">
        <f t="shared" si="1"/>
        <v>34625.800000000003</v>
      </c>
      <c r="P7" s="12">
        <v>0.15</v>
      </c>
      <c r="Q7" s="10">
        <f t="shared" si="2"/>
        <v>5193.87</v>
      </c>
      <c r="R7" s="10">
        <f t="shared" si="3"/>
        <v>0</v>
      </c>
      <c r="S7" s="10">
        <f t="shared" si="4"/>
        <v>0</v>
      </c>
    </row>
    <row r="8" spans="1:19" s="8" customFormat="1" x14ac:dyDescent="0.35">
      <c r="A8" s="8" t="s">
        <v>59</v>
      </c>
      <c r="B8" s="21"/>
      <c r="C8" s="21"/>
      <c r="D8" s="24">
        <f t="shared" si="5"/>
        <v>0</v>
      </c>
      <c r="E8" s="24">
        <f t="shared" si="6"/>
        <v>0</v>
      </c>
      <c r="F8" s="9">
        <v>44316</v>
      </c>
      <c r="G8" s="10">
        <v>110921.99</v>
      </c>
      <c r="H8" s="10">
        <v>110921.99</v>
      </c>
      <c r="I8" s="10">
        <v>110921.99</v>
      </c>
      <c r="J8" s="10">
        <f t="shared" si="7"/>
        <v>0</v>
      </c>
      <c r="K8" s="10">
        <f t="shared" si="8"/>
        <v>0</v>
      </c>
      <c r="L8" s="11">
        <v>0.5</v>
      </c>
      <c r="M8" s="12">
        <v>0.1</v>
      </c>
      <c r="N8" s="13">
        <f t="shared" si="0"/>
        <v>0</v>
      </c>
      <c r="O8" s="13">
        <f t="shared" ref="O8:O22" si="9">L8*G8*M8</f>
        <v>5546.0995000000003</v>
      </c>
      <c r="P8" s="12">
        <v>0.15</v>
      </c>
      <c r="Q8" s="10">
        <v>0</v>
      </c>
      <c r="R8" s="10">
        <f t="shared" si="3"/>
        <v>0</v>
      </c>
      <c r="S8" s="10">
        <f t="shared" si="4"/>
        <v>0</v>
      </c>
    </row>
    <row r="9" spans="1:19" s="8" customFormat="1" x14ac:dyDescent="0.35">
      <c r="A9" s="8" t="s">
        <v>58</v>
      </c>
      <c r="B9" s="21"/>
      <c r="C9" s="21"/>
      <c r="D9" s="24">
        <f t="shared" si="5"/>
        <v>0</v>
      </c>
      <c r="E9" s="24">
        <f t="shared" si="6"/>
        <v>0</v>
      </c>
      <c r="F9" s="9">
        <v>44318</v>
      </c>
      <c r="G9" s="10">
        <v>250000</v>
      </c>
      <c r="H9" s="10">
        <v>250000</v>
      </c>
      <c r="I9" s="10">
        <v>122488.15</v>
      </c>
      <c r="J9" s="10">
        <f t="shared" si="7"/>
        <v>127511.85</v>
      </c>
      <c r="K9" s="10">
        <f t="shared" si="8"/>
        <v>127511.85</v>
      </c>
      <c r="L9" s="11">
        <v>1</v>
      </c>
      <c r="M9" s="12">
        <v>0.1</v>
      </c>
      <c r="N9" s="13">
        <f t="shared" si="0"/>
        <v>12751.185000000001</v>
      </c>
      <c r="O9" s="13">
        <f t="shared" si="9"/>
        <v>25000</v>
      </c>
      <c r="P9" s="12">
        <v>0.15</v>
      </c>
      <c r="Q9" s="10">
        <v>0</v>
      </c>
      <c r="R9" s="10">
        <f t="shared" si="3"/>
        <v>1912.6777500000001</v>
      </c>
      <c r="S9" s="10">
        <f t="shared" si="4"/>
        <v>1912.6777500000001</v>
      </c>
    </row>
    <row r="10" spans="1:19" s="8" customFormat="1" x14ac:dyDescent="0.35">
      <c r="A10" s="8" t="s">
        <v>70</v>
      </c>
      <c r="B10" s="21"/>
      <c r="C10" s="21"/>
      <c r="D10" s="24">
        <f t="shared" si="5"/>
        <v>33.333333333333329</v>
      </c>
      <c r="E10" s="24">
        <f t="shared" si="6"/>
        <v>33.333333333333329</v>
      </c>
      <c r="F10" s="9">
        <v>44429</v>
      </c>
      <c r="G10" s="10">
        <v>750000</v>
      </c>
      <c r="H10" s="10">
        <v>1000000</v>
      </c>
      <c r="I10" s="10">
        <v>200000</v>
      </c>
      <c r="J10" s="10">
        <f t="shared" si="7"/>
        <v>550000</v>
      </c>
      <c r="K10" s="10">
        <f t="shared" si="8"/>
        <v>800000</v>
      </c>
      <c r="L10" s="11">
        <v>1</v>
      </c>
      <c r="M10" s="12">
        <v>0.05</v>
      </c>
      <c r="N10" s="13">
        <f t="shared" si="0"/>
        <v>27500</v>
      </c>
      <c r="O10" s="13">
        <f t="shared" si="9"/>
        <v>37500</v>
      </c>
      <c r="P10" s="12">
        <v>0.15</v>
      </c>
      <c r="Q10" s="10">
        <v>0</v>
      </c>
      <c r="R10" s="10">
        <f>J10*L10*M10*P10</f>
        <v>4125</v>
      </c>
      <c r="S10" s="10">
        <f>K10*L10*M10*P10</f>
        <v>6000</v>
      </c>
    </row>
    <row r="11" spans="1:19" s="8" customFormat="1" x14ac:dyDescent="0.35">
      <c r="A11" s="8" t="s">
        <v>71</v>
      </c>
      <c r="B11" s="21"/>
      <c r="C11" s="21"/>
      <c r="D11" s="24">
        <f t="shared" si="5"/>
        <v>0</v>
      </c>
      <c r="E11" s="24">
        <f t="shared" si="6"/>
        <v>0</v>
      </c>
      <c r="F11" s="9">
        <v>44429</v>
      </c>
      <c r="G11" s="10">
        <v>350000</v>
      </c>
      <c r="H11" s="10">
        <v>350000</v>
      </c>
      <c r="I11" s="10">
        <v>200000</v>
      </c>
      <c r="J11" s="10">
        <f t="shared" si="7"/>
        <v>150000</v>
      </c>
      <c r="K11" s="10">
        <f t="shared" si="8"/>
        <v>150000</v>
      </c>
      <c r="L11" s="11">
        <v>1</v>
      </c>
      <c r="M11" s="12">
        <v>0.05</v>
      </c>
      <c r="N11" s="13">
        <f>J11*M11</f>
        <v>7500</v>
      </c>
      <c r="O11" s="13">
        <f>L11*G11*M11</f>
        <v>17500</v>
      </c>
      <c r="P11" s="12">
        <v>0.15</v>
      </c>
      <c r="Q11" s="10">
        <v>0</v>
      </c>
      <c r="R11" s="10">
        <f>J11*L11*M11*P11</f>
        <v>1125</v>
      </c>
      <c r="S11" s="10">
        <f>K11*L11*M11*P11</f>
        <v>1125</v>
      </c>
    </row>
    <row r="12" spans="1:19" s="8" customFormat="1" x14ac:dyDescent="0.35">
      <c r="A12" s="8" t="s">
        <v>66</v>
      </c>
      <c r="B12" s="21"/>
      <c r="C12" s="21"/>
      <c r="D12" s="24">
        <f t="shared" si="5"/>
        <v>0</v>
      </c>
      <c r="E12" s="24">
        <f t="shared" si="6"/>
        <v>0</v>
      </c>
      <c r="F12" s="9">
        <v>44457</v>
      </c>
      <c r="G12" s="10">
        <v>149780.84</v>
      </c>
      <c r="H12" s="10">
        <v>149780.84</v>
      </c>
      <c r="I12" s="10">
        <v>149780.84</v>
      </c>
      <c r="J12" s="10">
        <f t="shared" si="7"/>
        <v>0</v>
      </c>
      <c r="K12" s="10">
        <f t="shared" si="8"/>
        <v>0</v>
      </c>
      <c r="L12" s="11">
        <v>1</v>
      </c>
      <c r="M12" s="12">
        <v>0.1</v>
      </c>
      <c r="N12" s="13">
        <f>J12*M12</f>
        <v>0</v>
      </c>
      <c r="O12" s="13">
        <f>L12*G12*M12</f>
        <v>14978.084000000001</v>
      </c>
      <c r="P12" s="12">
        <v>0.15</v>
      </c>
      <c r="Q12" s="10">
        <v>0</v>
      </c>
      <c r="R12" s="10">
        <f>J12*L12*M12*P12</f>
        <v>0</v>
      </c>
      <c r="S12" s="10">
        <f>K12*L12*M12*P12</f>
        <v>0</v>
      </c>
    </row>
    <row r="13" spans="1:19" s="8" customFormat="1" x14ac:dyDescent="0.35">
      <c r="A13" s="8" t="s">
        <v>50</v>
      </c>
      <c r="B13" s="21"/>
      <c r="C13" s="21"/>
      <c r="D13" s="24">
        <f t="shared" si="5"/>
        <v>0</v>
      </c>
      <c r="E13" s="24">
        <f t="shared" si="6"/>
        <v>0</v>
      </c>
      <c r="F13" s="9">
        <v>44210</v>
      </c>
      <c r="G13" s="10">
        <v>75689.63</v>
      </c>
      <c r="H13" s="10">
        <v>75689.63</v>
      </c>
      <c r="I13" s="10">
        <v>75689.63</v>
      </c>
      <c r="J13" s="10">
        <f t="shared" si="7"/>
        <v>0</v>
      </c>
      <c r="K13" s="10">
        <f t="shared" si="8"/>
        <v>0</v>
      </c>
      <c r="L13" s="11">
        <v>1</v>
      </c>
      <c r="M13" s="12">
        <v>0.1</v>
      </c>
      <c r="N13" s="13">
        <f t="shared" ref="N13:N22" si="10">J13*M13</f>
        <v>0</v>
      </c>
      <c r="O13" s="13">
        <f t="shared" si="9"/>
        <v>7568.9630000000006</v>
      </c>
      <c r="P13" s="12">
        <v>0.15</v>
      </c>
      <c r="Q13" s="10">
        <f t="shared" ref="Q13:Q34" si="11">I13*L13*M13*P13</f>
        <v>1135.3444500000001</v>
      </c>
      <c r="R13" s="10">
        <f t="shared" ref="R13:R23" si="12">J13*L13*M13*P13</f>
        <v>0</v>
      </c>
      <c r="S13" s="10">
        <f t="shared" ref="S13:S25" si="13">K13*L13*M13*P13</f>
        <v>0</v>
      </c>
    </row>
    <row r="14" spans="1:19" s="8" customFormat="1" x14ac:dyDescent="0.35">
      <c r="A14" s="8" t="s">
        <v>60</v>
      </c>
      <c r="B14" s="21"/>
      <c r="C14" s="21"/>
      <c r="D14" s="24">
        <f t="shared" si="5"/>
        <v>0</v>
      </c>
      <c r="E14" s="24">
        <f t="shared" si="6"/>
        <v>0</v>
      </c>
      <c r="F14" s="9">
        <v>44320</v>
      </c>
      <c r="G14" s="10">
        <v>500000</v>
      </c>
      <c r="H14" s="10">
        <v>500000</v>
      </c>
      <c r="I14" s="10">
        <v>413876.34</v>
      </c>
      <c r="J14" s="10">
        <f t="shared" si="7"/>
        <v>86123.659999999974</v>
      </c>
      <c r="K14" s="10">
        <f t="shared" si="8"/>
        <v>86123.659999999974</v>
      </c>
      <c r="L14" s="11">
        <v>1</v>
      </c>
      <c r="M14" s="12">
        <v>0.1</v>
      </c>
      <c r="N14" s="13">
        <f t="shared" si="10"/>
        <v>8612.3659999999982</v>
      </c>
      <c r="O14" s="13">
        <f t="shared" si="9"/>
        <v>50000</v>
      </c>
      <c r="P14" s="12">
        <v>0.15</v>
      </c>
      <c r="Q14" s="10">
        <f t="shared" si="11"/>
        <v>6208.1451000000006</v>
      </c>
      <c r="R14" s="10">
        <f t="shared" si="12"/>
        <v>1291.8548999999996</v>
      </c>
      <c r="S14" s="10">
        <f t="shared" si="13"/>
        <v>1291.8548999999996</v>
      </c>
    </row>
    <row r="15" spans="1:19" s="8" customFormat="1" x14ac:dyDescent="0.35">
      <c r="A15" s="8" t="s">
        <v>78</v>
      </c>
      <c r="B15" s="21"/>
      <c r="C15" s="21"/>
      <c r="D15" s="24">
        <f t="shared" si="5"/>
        <v>0</v>
      </c>
      <c r="E15" s="24">
        <f t="shared" si="6"/>
        <v>0</v>
      </c>
      <c r="F15" s="9">
        <v>44552</v>
      </c>
      <c r="G15" s="10">
        <v>300000</v>
      </c>
      <c r="H15" s="10">
        <v>300000</v>
      </c>
      <c r="I15" s="10">
        <v>0</v>
      </c>
      <c r="J15" s="10">
        <f t="shared" si="7"/>
        <v>300000</v>
      </c>
      <c r="K15" s="10">
        <f t="shared" si="8"/>
        <v>300000</v>
      </c>
      <c r="L15" s="11">
        <v>1</v>
      </c>
      <c r="M15" s="12">
        <v>0.1</v>
      </c>
      <c r="N15" s="13">
        <f t="shared" si="10"/>
        <v>30000</v>
      </c>
      <c r="O15" s="13">
        <f t="shared" si="9"/>
        <v>30000</v>
      </c>
      <c r="P15" s="12">
        <v>0.15</v>
      </c>
      <c r="Q15" s="10">
        <f t="shared" si="11"/>
        <v>0</v>
      </c>
      <c r="R15" s="10">
        <f t="shared" si="12"/>
        <v>4500</v>
      </c>
      <c r="S15" s="10">
        <f t="shared" si="13"/>
        <v>4500</v>
      </c>
    </row>
    <row r="16" spans="1:19" s="8" customFormat="1" x14ac:dyDescent="0.35">
      <c r="A16" s="8" t="s">
        <v>51</v>
      </c>
      <c r="B16" s="21"/>
      <c r="C16" s="21"/>
      <c r="D16" s="24">
        <f t="shared" si="5"/>
        <v>0</v>
      </c>
      <c r="E16" s="24">
        <f t="shared" si="6"/>
        <v>0</v>
      </c>
      <c r="F16" s="9">
        <v>44224</v>
      </c>
      <c r="G16" s="10">
        <v>200000</v>
      </c>
      <c r="H16" s="10">
        <v>200000</v>
      </c>
      <c r="I16" s="10">
        <v>184540.81</v>
      </c>
      <c r="J16" s="10">
        <f t="shared" si="7"/>
        <v>15459.190000000002</v>
      </c>
      <c r="K16" s="10">
        <f t="shared" si="8"/>
        <v>15459.190000000002</v>
      </c>
      <c r="L16" s="11">
        <v>0.9</v>
      </c>
      <c r="M16" s="12">
        <v>0.1</v>
      </c>
      <c r="N16" s="13">
        <f t="shared" si="10"/>
        <v>1545.9190000000003</v>
      </c>
      <c r="O16" s="13">
        <f t="shared" si="9"/>
        <v>18000</v>
      </c>
      <c r="P16" s="12">
        <v>0.15</v>
      </c>
      <c r="Q16" s="10">
        <f t="shared" si="11"/>
        <v>2491.3009350000002</v>
      </c>
      <c r="R16" s="10">
        <f t="shared" si="12"/>
        <v>208.69906500000005</v>
      </c>
      <c r="S16" s="10">
        <f t="shared" si="13"/>
        <v>208.69906500000005</v>
      </c>
    </row>
    <row r="17" spans="1:19" s="8" customFormat="1" x14ac:dyDescent="0.35">
      <c r="A17" s="8" t="s">
        <v>73</v>
      </c>
      <c r="B17" s="21"/>
      <c r="C17" s="21"/>
      <c r="D17" s="24">
        <f t="shared" si="5"/>
        <v>0</v>
      </c>
      <c r="E17" s="24">
        <f t="shared" si="6"/>
        <v>0</v>
      </c>
      <c r="F17" s="9">
        <v>44457</v>
      </c>
      <c r="G17" s="10">
        <v>175000</v>
      </c>
      <c r="H17" s="10">
        <v>175000</v>
      </c>
      <c r="I17" s="10">
        <v>95032.7</v>
      </c>
      <c r="J17" s="10">
        <f t="shared" si="7"/>
        <v>79967.3</v>
      </c>
      <c r="K17" s="10">
        <f t="shared" si="8"/>
        <v>79967.3</v>
      </c>
      <c r="L17" s="11">
        <v>1</v>
      </c>
      <c r="M17" s="12">
        <v>0.1</v>
      </c>
      <c r="N17" s="13">
        <f t="shared" si="10"/>
        <v>7996.7300000000005</v>
      </c>
      <c r="O17" s="13">
        <f t="shared" si="9"/>
        <v>17500</v>
      </c>
      <c r="P17" s="12">
        <v>0.15</v>
      </c>
      <c r="Q17" s="10">
        <f>I17*L17*M17*P17</f>
        <v>1425.4905000000001</v>
      </c>
      <c r="R17" s="10">
        <f>J17*L17*M17*P17</f>
        <v>1199.5095000000001</v>
      </c>
      <c r="S17" s="10">
        <f>K17*L17*M17*P17</f>
        <v>1199.5095000000001</v>
      </c>
    </row>
    <row r="18" spans="1:19" s="8" customFormat="1" x14ac:dyDescent="0.35">
      <c r="A18" s="8" t="s">
        <v>57</v>
      </c>
      <c r="B18" s="21"/>
      <c r="C18" s="21"/>
      <c r="D18" s="24">
        <f t="shared" si="5"/>
        <v>0</v>
      </c>
      <c r="E18" s="24">
        <f t="shared" si="6"/>
        <v>0</v>
      </c>
      <c r="F18" s="9">
        <v>44311</v>
      </c>
      <c r="G18" s="10">
        <v>350000</v>
      </c>
      <c r="H18" s="10">
        <v>350000</v>
      </c>
      <c r="I18" s="10">
        <v>0</v>
      </c>
      <c r="J18" s="10">
        <f t="shared" si="7"/>
        <v>350000</v>
      </c>
      <c r="K18" s="10">
        <f t="shared" si="8"/>
        <v>350000</v>
      </c>
      <c r="L18" s="11">
        <v>0.5</v>
      </c>
      <c r="M18" s="12">
        <v>0.1</v>
      </c>
      <c r="N18" s="13">
        <f t="shared" si="10"/>
        <v>35000</v>
      </c>
      <c r="O18" s="13">
        <f t="shared" si="9"/>
        <v>17500</v>
      </c>
      <c r="P18" s="12">
        <v>0.15</v>
      </c>
      <c r="Q18" s="10">
        <f t="shared" si="11"/>
        <v>0</v>
      </c>
      <c r="R18" s="10">
        <f t="shared" si="12"/>
        <v>2625</v>
      </c>
      <c r="S18" s="10">
        <f t="shared" si="13"/>
        <v>2625</v>
      </c>
    </row>
    <row r="19" spans="1:19" s="8" customFormat="1" x14ac:dyDescent="0.35">
      <c r="A19" s="8" t="s">
        <v>49</v>
      </c>
      <c r="B19" s="21"/>
      <c r="C19" s="21"/>
      <c r="D19" s="24">
        <f t="shared" si="5"/>
        <v>50</v>
      </c>
      <c r="E19" s="24">
        <f t="shared" si="6"/>
        <v>50</v>
      </c>
      <c r="F19" s="9">
        <v>44211</v>
      </c>
      <c r="G19" s="10">
        <v>400000</v>
      </c>
      <c r="H19" s="10">
        <v>600000</v>
      </c>
      <c r="I19" s="10">
        <v>390033.23</v>
      </c>
      <c r="J19" s="10">
        <f t="shared" si="7"/>
        <v>9966.7700000000186</v>
      </c>
      <c r="K19" s="10">
        <f t="shared" si="8"/>
        <v>209966.77000000002</v>
      </c>
      <c r="L19" s="11">
        <v>1</v>
      </c>
      <c r="M19" s="12">
        <v>0.1</v>
      </c>
      <c r="N19" s="13">
        <f t="shared" si="10"/>
        <v>996.67700000000195</v>
      </c>
      <c r="O19" s="13">
        <f t="shared" si="9"/>
        <v>40000</v>
      </c>
      <c r="P19" s="12">
        <v>0.15</v>
      </c>
      <c r="Q19" s="10">
        <f t="shared" si="11"/>
        <v>5850.4984499999991</v>
      </c>
      <c r="R19" s="10">
        <f t="shared" si="12"/>
        <v>149.50155000000029</v>
      </c>
      <c r="S19" s="10">
        <f t="shared" si="13"/>
        <v>3149.5015500000004</v>
      </c>
    </row>
    <row r="20" spans="1:19" s="8" customFormat="1" x14ac:dyDescent="0.35">
      <c r="A20" s="8" t="s">
        <v>61</v>
      </c>
      <c r="B20" s="21"/>
      <c r="C20" s="21"/>
      <c r="D20" s="24">
        <f t="shared" si="5"/>
        <v>0</v>
      </c>
      <c r="E20" s="24">
        <f t="shared" si="6"/>
        <v>0</v>
      </c>
      <c r="F20" s="9">
        <v>44335</v>
      </c>
      <c r="G20" s="10">
        <v>250000</v>
      </c>
      <c r="H20" s="10">
        <v>250000</v>
      </c>
      <c r="I20" s="10">
        <v>0</v>
      </c>
      <c r="J20" s="10">
        <f t="shared" si="7"/>
        <v>250000</v>
      </c>
      <c r="K20" s="10">
        <f t="shared" si="8"/>
        <v>250000</v>
      </c>
      <c r="L20" s="11">
        <v>1</v>
      </c>
      <c r="M20" s="12">
        <v>0.1</v>
      </c>
      <c r="N20" s="13">
        <f t="shared" si="10"/>
        <v>25000</v>
      </c>
      <c r="O20" s="13">
        <f t="shared" si="9"/>
        <v>25000</v>
      </c>
      <c r="P20" s="12">
        <v>0.15</v>
      </c>
      <c r="Q20" s="10">
        <f t="shared" si="11"/>
        <v>0</v>
      </c>
      <c r="R20" s="10">
        <f t="shared" si="12"/>
        <v>3750</v>
      </c>
      <c r="S20" s="10">
        <f t="shared" si="13"/>
        <v>3750</v>
      </c>
    </row>
    <row r="21" spans="1:19" s="8" customFormat="1" x14ac:dyDescent="0.35">
      <c r="A21" s="8" t="s">
        <v>67</v>
      </c>
      <c r="B21" s="21"/>
      <c r="C21" s="21"/>
      <c r="D21" s="24">
        <f t="shared" si="5"/>
        <v>0</v>
      </c>
      <c r="E21" s="24">
        <f t="shared" si="6"/>
        <v>0</v>
      </c>
      <c r="F21" s="9">
        <v>44355</v>
      </c>
      <c r="G21" s="10">
        <v>60000</v>
      </c>
      <c r="H21" s="10">
        <v>60000</v>
      </c>
      <c r="I21" s="10">
        <v>0</v>
      </c>
      <c r="J21" s="10">
        <f t="shared" si="7"/>
        <v>60000</v>
      </c>
      <c r="K21" s="10">
        <f t="shared" si="8"/>
        <v>60000</v>
      </c>
      <c r="L21" s="11">
        <v>1</v>
      </c>
      <c r="M21" s="12">
        <v>0.1</v>
      </c>
      <c r="N21" s="13">
        <f t="shared" si="10"/>
        <v>6000</v>
      </c>
      <c r="O21" s="13">
        <f t="shared" si="9"/>
        <v>6000</v>
      </c>
      <c r="P21" s="12">
        <v>0.15</v>
      </c>
      <c r="Q21" s="10">
        <f t="shared" si="11"/>
        <v>0</v>
      </c>
      <c r="R21" s="10">
        <f t="shared" si="12"/>
        <v>900</v>
      </c>
      <c r="S21" s="10">
        <f t="shared" si="13"/>
        <v>900</v>
      </c>
    </row>
    <row r="22" spans="1:19" s="8" customFormat="1" x14ac:dyDescent="0.35">
      <c r="A22" s="8" t="s">
        <v>55</v>
      </c>
      <c r="B22" s="21"/>
      <c r="C22" s="21"/>
      <c r="D22" s="24">
        <f t="shared" si="5"/>
        <v>14.936048720471565</v>
      </c>
      <c r="E22" s="24">
        <f t="shared" si="6"/>
        <v>14.936048720471565</v>
      </c>
      <c r="F22" s="9">
        <v>44300</v>
      </c>
      <c r="G22" s="10">
        <v>348019.62</v>
      </c>
      <c r="H22" s="10">
        <v>400000</v>
      </c>
      <c r="I22" s="10">
        <v>348019.62</v>
      </c>
      <c r="J22" s="10">
        <f t="shared" si="7"/>
        <v>0</v>
      </c>
      <c r="K22" s="10">
        <f t="shared" si="8"/>
        <v>51980.380000000005</v>
      </c>
      <c r="L22" s="11">
        <v>1</v>
      </c>
      <c r="M22" s="12">
        <v>0.1</v>
      </c>
      <c r="N22" s="13">
        <f t="shared" si="10"/>
        <v>0</v>
      </c>
      <c r="O22" s="13">
        <f t="shared" si="9"/>
        <v>34801.962</v>
      </c>
      <c r="P22" s="12">
        <v>0.15</v>
      </c>
      <c r="Q22" s="10">
        <f t="shared" si="11"/>
        <v>5220.2942999999996</v>
      </c>
      <c r="R22" s="10">
        <f t="shared" si="12"/>
        <v>0</v>
      </c>
      <c r="S22" s="10">
        <f t="shared" si="13"/>
        <v>779.70570000000009</v>
      </c>
    </row>
    <row r="23" spans="1:19" s="8" customFormat="1" x14ac:dyDescent="0.35">
      <c r="A23" s="8" t="s">
        <v>74</v>
      </c>
      <c r="B23" s="21"/>
      <c r="C23" s="21"/>
      <c r="D23" s="24">
        <f t="shared" si="5"/>
        <v>0</v>
      </c>
      <c r="E23" s="24">
        <f t="shared" si="6"/>
        <v>0</v>
      </c>
      <c r="F23" s="9">
        <v>44538</v>
      </c>
      <c r="G23" s="10">
        <v>150000</v>
      </c>
      <c r="H23" s="10">
        <v>150000</v>
      </c>
      <c r="I23" s="10">
        <v>0</v>
      </c>
      <c r="J23" s="10">
        <f t="shared" si="7"/>
        <v>150000</v>
      </c>
      <c r="K23" s="10">
        <f t="shared" si="8"/>
        <v>150000</v>
      </c>
      <c r="L23" s="11">
        <v>0.75</v>
      </c>
      <c r="M23" s="12">
        <v>7.0000000000000007E-2</v>
      </c>
      <c r="N23" s="13">
        <v>0</v>
      </c>
      <c r="O23" s="13">
        <v>0</v>
      </c>
      <c r="P23" s="12">
        <v>0.15</v>
      </c>
      <c r="Q23" s="10">
        <f t="shared" si="11"/>
        <v>0</v>
      </c>
      <c r="R23" s="10">
        <f t="shared" si="12"/>
        <v>1181.25</v>
      </c>
      <c r="S23" s="10">
        <f t="shared" si="13"/>
        <v>1181.25</v>
      </c>
    </row>
    <row r="24" spans="1:19" s="8" customFormat="1" x14ac:dyDescent="0.35">
      <c r="A24" s="8" t="s">
        <v>79</v>
      </c>
      <c r="B24" s="21"/>
      <c r="C24" s="21"/>
      <c r="D24" s="24">
        <f t="shared" si="5"/>
        <v>0</v>
      </c>
      <c r="E24" s="24">
        <f t="shared" si="6"/>
        <v>0</v>
      </c>
      <c r="F24" s="9"/>
      <c r="G24" s="10">
        <v>150000</v>
      </c>
      <c r="H24" s="10">
        <v>150000</v>
      </c>
      <c r="I24" s="10">
        <v>10000</v>
      </c>
      <c r="J24" s="10">
        <f t="shared" si="7"/>
        <v>140000</v>
      </c>
      <c r="K24" s="10">
        <f t="shared" si="8"/>
        <v>140000</v>
      </c>
      <c r="L24" s="11">
        <v>1</v>
      </c>
      <c r="M24" s="12">
        <v>0.1</v>
      </c>
      <c r="N24" s="13">
        <v>0</v>
      </c>
      <c r="O24" s="13">
        <v>0</v>
      </c>
      <c r="P24" s="12">
        <v>0.15</v>
      </c>
      <c r="Q24" s="10">
        <f>I24*L24*M24*P24</f>
        <v>150</v>
      </c>
      <c r="R24" s="10">
        <f>J24*L24*M24*P24</f>
        <v>2100</v>
      </c>
      <c r="S24" s="10">
        <f>K24*L24*M24*P24</f>
        <v>2100</v>
      </c>
    </row>
    <row r="25" spans="1:19" s="8" customFormat="1" x14ac:dyDescent="0.35">
      <c r="A25" s="8" t="s">
        <v>54</v>
      </c>
      <c r="B25" s="21"/>
      <c r="C25" s="21"/>
      <c r="D25" s="24">
        <f t="shared" si="5"/>
        <v>0</v>
      </c>
      <c r="E25" s="24">
        <f t="shared" si="6"/>
        <v>0</v>
      </c>
      <c r="F25" s="9">
        <v>44245</v>
      </c>
      <c r="G25" s="10">
        <v>303762.51</v>
      </c>
      <c r="H25" s="10">
        <v>303762.51</v>
      </c>
      <c r="I25" s="10">
        <v>303762.51</v>
      </c>
      <c r="J25" s="10">
        <f t="shared" si="7"/>
        <v>0</v>
      </c>
      <c r="K25" s="10">
        <f t="shared" si="8"/>
        <v>0</v>
      </c>
      <c r="L25" s="11">
        <v>1</v>
      </c>
      <c r="M25" s="12">
        <v>0.1</v>
      </c>
      <c r="N25" s="13">
        <f t="shared" ref="N25:N34" si="14">J25*M25</f>
        <v>0</v>
      </c>
      <c r="O25" s="13">
        <f>L25*G25*M25</f>
        <v>30376.251000000004</v>
      </c>
      <c r="P25" s="12">
        <v>0.15</v>
      </c>
      <c r="Q25" s="10">
        <f t="shared" si="11"/>
        <v>4556.4376500000008</v>
      </c>
      <c r="R25" s="10">
        <f>J25*L25*M25*P25</f>
        <v>0</v>
      </c>
      <c r="S25" s="10">
        <f t="shared" si="13"/>
        <v>0</v>
      </c>
    </row>
    <row r="26" spans="1:19" s="8" customFormat="1" x14ac:dyDescent="0.35">
      <c r="A26" s="8" t="s">
        <v>64</v>
      </c>
      <c r="B26" s="21"/>
      <c r="C26" s="21"/>
      <c r="D26" s="24">
        <f t="shared" si="5"/>
        <v>0</v>
      </c>
      <c r="E26" s="24">
        <f t="shared" si="6"/>
        <v>0</v>
      </c>
      <c r="F26" s="9">
        <v>44346</v>
      </c>
      <c r="G26" s="10">
        <v>95274.38</v>
      </c>
      <c r="H26" s="10">
        <v>95274.38</v>
      </c>
      <c r="I26" s="10">
        <v>95274.38</v>
      </c>
      <c r="J26" s="10">
        <f t="shared" si="7"/>
        <v>0</v>
      </c>
      <c r="K26" s="10">
        <f t="shared" si="8"/>
        <v>0</v>
      </c>
      <c r="L26" s="11">
        <v>1</v>
      </c>
      <c r="M26" s="12">
        <v>0.1</v>
      </c>
      <c r="N26" s="13">
        <f>J26*M26</f>
        <v>0</v>
      </c>
      <c r="O26" s="13">
        <f>L26*G26*M26</f>
        <v>9527.4380000000001</v>
      </c>
      <c r="P26" s="12">
        <v>0.15</v>
      </c>
      <c r="Q26" s="10">
        <f>I26*L26*M26*P26</f>
        <v>1429.1157000000001</v>
      </c>
      <c r="R26" s="10">
        <f>J26*L26*M26*P26</f>
        <v>0</v>
      </c>
      <c r="S26" s="10">
        <f t="shared" ref="S26:S34" si="15">K26*L26*M26*P26</f>
        <v>0</v>
      </c>
    </row>
    <row r="27" spans="1:19" s="8" customFormat="1" x14ac:dyDescent="0.35">
      <c r="A27" s="8" t="s">
        <v>76</v>
      </c>
      <c r="B27" s="21"/>
      <c r="C27" s="21"/>
      <c r="D27" s="24">
        <f t="shared" si="5"/>
        <v>0</v>
      </c>
      <c r="E27" s="24">
        <f t="shared" si="6"/>
        <v>0</v>
      </c>
      <c r="F27" s="9">
        <v>44522</v>
      </c>
      <c r="G27" s="10">
        <v>20000</v>
      </c>
      <c r="H27" s="10">
        <v>20000</v>
      </c>
      <c r="I27" s="10">
        <v>0</v>
      </c>
      <c r="J27" s="10">
        <f t="shared" si="7"/>
        <v>20000</v>
      </c>
      <c r="K27" s="10">
        <f t="shared" si="8"/>
        <v>20000</v>
      </c>
      <c r="L27" s="11">
        <v>1</v>
      </c>
      <c r="M27" s="12">
        <v>0.1</v>
      </c>
      <c r="N27" s="13">
        <f>J27*M27</f>
        <v>2000</v>
      </c>
      <c r="O27" s="13">
        <f>L27*G27*M27</f>
        <v>2000</v>
      </c>
      <c r="P27" s="12">
        <v>0.15</v>
      </c>
      <c r="Q27" s="10">
        <f>I27*L27*M27*P27</f>
        <v>0</v>
      </c>
      <c r="R27" s="10">
        <f>J27*L27*M27*P27</f>
        <v>300</v>
      </c>
      <c r="S27" s="10">
        <f t="shared" si="15"/>
        <v>300</v>
      </c>
    </row>
    <row r="28" spans="1:19" s="8" customFormat="1" x14ac:dyDescent="0.35">
      <c r="A28" s="8" t="s">
        <v>56</v>
      </c>
      <c r="B28" s="21"/>
      <c r="C28" s="21"/>
      <c r="D28" s="24">
        <f t="shared" si="5"/>
        <v>0</v>
      </c>
      <c r="E28" s="24">
        <f t="shared" si="6"/>
        <v>0</v>
      </c>
      <c r="F28" s="9">
        <v>44296</v>
      </c>
      <c r="G28" s="10">
        <v>176121.29</v>
      </c>
      <c r="H28" s="10">
        <v>176121.29</v>
      </c>
      <c r="I28" s="10">
        <v>176121.29</v>
      </c>
      <c r="J28" s="10">
        <f t="shared" si="7"/>
        <v>0</v>
      </c>
      <c r="K28" s="10">
        <f t="shared" si="8"/>
        <v>0</v>
      </c>
      <c r="L28" s="11">
        <v>1</v>
      </c>
      <c r="M28" s="12">
        <v>0.1</v>
      </c>
      <c r="N28" s="13">
        <f t="shared" si="14"/>
        <v>0</v>
      </c>
      <c r="O28" s="13">
        <v>0</v>
      </c>
      <c r="P28" s="12">
        <v>0.15</v>
      </c>
      <c r="Q28" s="10">
        <f t="shared" si="11"/>
        <v>2641.8193500000002</v>
      </c>
      <c r="R28" s="10">
        <v>0</v>
      </c>
      <c r="S28" s="10">
        <f t="shared" si="15"/>
        <v>0</v>
      </c>
    </row>
    <row r="29" spans="1:19" s="8" customFormat="1" x14ac:dyDescent="0.35">
      <c r="A29" s="8" t="s">
        <v>63</v>
      </c>
      <c r="B29" s="21"/>
      <c r="C29" s="21"/>
      <c r="D29" s="24">
        <f t="shared" si="5"/>
        <v>0</v>
      </c>
      <c r="E29" s="24">
        <f t="shared" si="6"/>
        <v>0</v>
      </c>
      <c r="F29" s="9">
        <v>44336</v>
      </c>
      <c r="G29" s="10">
        <v>200000</v>
      </c>
      <c r="H29" s="10">
        <v>200000</v>
      </c>
      <c r="I29" s="10">
        <v>0</v>
      </c>
      <c r="J29" s="10">
        <f t="shared" si="7"/>
        <v>200000</v>
      </c>
      <c r="K29" s="10">
        <f t="shared" si="8"/>
        <v>200000</v>
      </c>
      <c r="L29" s="11">
        <v>0.75</v>
      </c>
      <c r="M29" s="12">
        <v>0.1</v>
      </c>
      <c r="N29" s="13">
        <f t="shared" si="14"/>
        <v>20000</v>
      </c>
      <c r="O29" s="13">
        <f t="shared" ref="O29:O34" si="16">L29*G29*M29</f>
        <v>15000</v>
      </c>
      <c r="P29" s="12">
        <v>0.15</v>
      </c>
      <c r="Q29" s="10">
        <f t="shared" si="11"/>
        <v>0</v>
      </c>
      <c r="R29" s="10">
        <f t="shared" ref="R29:R34" si="17">J29*L29*M29*P29</f>
        <v>2250</v>
      </c>
      <c r="S29" s="10">
        <f t="shared" si="15"/>
        <v>2250</v>
      </c>
    </row>
    <row r="30" spans="1:19" s="8" customFormat="1" x14ac:dyDescent="0.35">
      <c r="A30" s="8" t="s">
        <v>48</v>
      </c>
      <c r="B30" s="21"/>
      <c r="C30" s="21"/>
      <c r="D30" s="24">
        <f t="shared" si="5"/>
        <v>0</v>
      </c>
      <c r="E30" s="24">
        <f t="shared" si="6"/>
        <v>0</v>
      </c>
      <c r="F30" s="9">
        <v>44208</v>
      </c>
      <c r="G30" s="10">
        <v>200000</v>
      </c>
      <c r="H30" s="10">
        <v>200000</v>
      </c>
      <c r="I30" s="10">
        <v>200000</v>
      </c>
      <c r="J30" s="10">
        <f t="shared" si="7"/>
        <v>0</v>
      </c>
      <c r="K30" s="10">
        <f t="shared" si="8"/>
        <v>0</v>
      </c>
      <c r="L30" s="11">
        <v>1</v>
      </c>
      <c r="M30" s="12">
        <v>0.05</v>
      </c>
      <c r="N30" s="13">
        <f t="shared" si="14"/>
        <v>0</v>
      </c>
      <c r="O30" s="13">
        <f t="shared" si="16"/>
        <v>10000</v>
      </c>
      <c r="P30" s="12">
        <v>0.15</v>
      </c>
      <c r="Q30" s="10">
        <f t="shared" si="11"/>
        <v>1500</v>
      </c>
      <c r="R30" s="10">
        <f t="shared" si="17"/>
        <v>0</v>
      </c>
      <c r="S30" s="10">
        <f t="shared" si="15"/>
        <v>0</v>
      </c>
    </row>
    <row r="31" spans="1:19" x14ac:dyDescent="0.35">
      <c r="A31" s="8" t="s">
        <v>77</v>
      </c>
      <c r="B31" s="21"/>
      <c r="C31" s="21"/>
      <c r="D31" s="24">
        <f t="shared" si="5"/>
        <v>0</v>
      </c>
      <c r="E31" s="24">
        <f t="shared" si="6"/>
        <v>0</v>
      </c>
      <c r="F31" s="9">
        <v>44548</v>
      </c>
      <c r="G31" s="10">
        <v>300000</v>
      </c>
      <c r="H31" s="10">
        <v>300000</v>
      </c>
      <c r="I31" s="10">
        <v>0</v>
      </c>
      <c r="J31" s="10">
        <f t="shared" si="7"/>
        <v>300000</v>
      </c>
      <c r="K31" s="10">
        <f t="shared" si="8"/>
        <v>300000</v>
      </c>
      <c r="L31" s="11">
        <v>1</v>
      </c>
      <c r="M31" s="12">
        <v>0.1</v>
      </c>
      <c r="N31" s="13">
        <f t="shared" si="14"/>
        <v>30000</v>
      </c>
      <c r="O31" s="13">
        <f t="shared" si="16"/>
        <v>30000</v>
      </c>
      <c r="P31" s="12">
        <v>0.15</v>
      </c>
      <c r="Q31" s="10">
        <f t="shared" si="11"/>
        <v>0</v>
      </c>
      <c r="R31" s="10">
        <f t="shared" si="17"/>
        <v>4500</v>
      </c>
      <c r="S31" s="10">
        <f t="shared" si="15"/>
        <v>4500</v>
      </c>
    </row>
    <row r="32" spans="1:19" x14ac:dyDescent="0.35">
      <c r="A32" s="8" t="s">
        <v>72</v>
      </c>
      <c r="B32" s="21"/>
      <c r="C32" s="21"/>
      <c r="D32" s="24">
        <f t="shared" si="5"/>
        <v>0</v>
      </c>
      <c r="E32" s="24">
        <f t="shared" si="6"/>
        <v>0</v>
      </c>
      <c r="F32" s="9">
        <v>44430</v>
      </c>
      <c r="G32" s="10">
        <v>150000</v>
      </c>
      <c r="H32" s="10">
        <v>150000</v>
      </c>
      <c r="I32" s="10">
        <v>0</v>
      </c>
      <c r="J32" s="10">
        <f t="shared" si="7"/>
        <v>150000</v>
      </c>
      <c r="K32" s="10">
        <f t="shared" si="8"/>
        <v>150000</v>
      </c>
      <c r="L32" s="11">
        <v>1</v>
      </c>
      <c r="M32" s="12">
        <v>0.1</v>
      </c>
      <c r="N32" s="13">
        <f t="shared" si="14"/>
        <v>15000</v>
      </c>
      <c r="O32" s="13">
        <f t="shared" si="16"/>
        <v>15000</v>
      </c>
      <c r="P32" s="12">
        <v>0.15</v>
      </c>
      <c r="Q32" s="10">
        <f t="shared" si="11"/>
        <v>0</v>
      </c>
      <c r="R32" s="10">
        <f t="shared" si="17"/>
        <v>2250</v>
      </c>
      <c r="S32" s="10">
        <f t="shared" si="15"/>
        <v>2250</v>
      </c>
    </row>
    <row r="33" spans="1:20" x14ac:dyDescent="0.35">
      <c r="A33" s="8" t="s">
        <v>65</v>
      </c>
      <c r="B33" s="21"/>
      <c r="C33" s="21"/>
      <c r="D33" s="24">
        <f t="shared" si="5"/>
        <v>0</v>
      </c>
      <c r="E33" s="24">
        <f t="shared" si="6"/>
        <v>0</v>
      </c>
      <c r="F33" s="9">
        <v>44280</v>
      </c>
      <c r="G33" s="10">
        <v>173984.37</v>
      </c>
      <c r="H33" s="10">
        <v>173984.37</v>
      </c>
      <c r="I33" s="10">
        <v>173984.37</v>
      </c>
      <c r="J33" s="10">
        <f t="shared" si="7"/>
        <v>0</v>
      </c>
      <c r="K33" s="10">
        <f t="shared" si="8"/>
        <v>0</v>
      </c>
      <c r="L33" s="11">
        <v>1</v>
      </c>
      <c r="M33" s="12">
        <v>0.1</v>
      </c>
      <c r="N33" s="13">
        <f t="shared" si="14"/>
        <v>0</v>
      </c>
      <c r="O33" s="13">
        <f t="shared" si="16"/>
        <v>17398.437000000002</v>
      </c>
      <c r="P33" s="12">
        <v>0.15</v>
      </c>
      <c r="Q33" s="10">
        <f t="shared" si="11"/>
        <v>2609.7655500000001</v>
      </c>
      <c r="R33" s="10">
        <f t="shared" si="17"/>
        <v>0</v>
      </c>
      <c r="S33" s="10">
        <f t="shared" si="15"/>
        <v>0</v>
      </c>
    </row>
    <row r="34" spans="1:20" x14ac:dyDescent="0.35">
      <c r="A34" s="8" t="s">
        <v>62</v>
      </c>
      <c r="B34" s="21"/>
      <c r="C34" s="21"/>
      <c r="D34" s="24">
        <f t="shared" si="5"/>
        <v>0</v>
      </c>
      <c r="E34" s="24">
        <f t="shared" si="6"/>
        <v>0</v>
      </c>
      <c r="F34" s="9">
        <v>44343</v>
      </c>
      <c r="G34" s="10">
        <v>100000</v>
      </c>
      <c r="H34" s="10">
        <v>100000</v>
      </c>
      <c r="I34" s="10">
        <v>0</v>
      </c>
      <c r="J34" s="10">
        <f t="shared" si="7"/>
        <v>100000</v>
      </c>
      <c r="K34" s="10">
        <f t="shared" si="8"/>
        <v>100000</v>
      </c>
      <c r="L34" s="11">
        <v>1</v>
      </c>
      <c r="M34" s="12">
        <v>0.1</v>
      </c>
      <c r="N34" s="13">
        <f t="shared" si="14"/>
        <v>10000</v>
      </c>
      <c r="O34" s="13">
        <f t="shared" si="16"/>
        <v>10000</v>
      </c>
      <c r="P34" s="12">
        <v>0.15</v>
      </c>
      <c r="Q34" s="10">
        <f t="shared" si="11"/>
        <v>0</v>
      </c>
      <c r="R34" s="10">
        <f t="shared" si="17"/>
        <v>1500</v>
      </c>
      <c r="S34" s="10">
        <f t="shared" si="15"/>
        <v>1500</v>
      </c>
      <c r="T34" s="8"/>
    </row>
    <row r="35" spans="1:20" x14ac:dyDescent="0.35">
      <c r="F35" s="4"/>
      <c r="G35" s="3">
        <f>SUM(G2:G34)</f>
        <v>7765612.6299999999</v>
      </c>
      <c r="H35" s="3">
        <f>SUM(H2:H34)</f>
        <v>8496068.7599999998</v>
      </c>
      <c r="I35" s="1">
        <f>SUM(I2:I34)</f>
        <v>4628002.6100000003</v>
      </c>
      <c r="J35" s="1">
        <f>SUM(J2:J34)</f>
        <v>3137610.02</v>
      </c>
      <c r="K35" s="1">
        <f>SUM(K2:K34)</f>
        <v>3868066.15</v>
      </c>
      <c r="L35" s="1"/>
      <c r="N35" s="14">
        <f>SUM(N2:N34)</f>
        <v>247990.432</v>
      </c>
      <c r="O35" s="14">
        <f>SUM(O2:O34)</f>
        <v>593153.03449999995</v>
      </c>
      <c r="Q35" s="1">
        <f>SUM(Q2:Q34)</f>
        <v>47478.096547499998</v>
      </c>
      <c r="R35" s="1">
        <f>SUM(R2:R34)</f>
        <v>38601.978202500002</v>
      </c>
      <c r="S35" s="1">
        <f>SUM(S2:S34)</f>
        <v>45113.467965000003</v>
      </c>
      <c r="T35" s="8"/>
    </row>
    <row r="36" spans="1:20" x14ac:dyDescent="0.35">
      <c r="F36" s="4"/>
      <c r="G36" s="1">
        <f>AVERAGE(G2:G34)</f>
        <v>235321.59484848485</v>
      </c>
      <c r="H36" s="1">
        <f>AVERAGE(H2:H34)</f>
        <v>257456.62909090909</v>
      </c>
      <c r="M36" s="2">
        <f>AVERAGE(M2:M34)</f>
        <v>9.3939393939393989E-2</v>
      </c>
      <c r="O36" s="15">
        <f>O35*0.25</f>
        <v>148288.25862499999</v>
      </c>
      <c r="Q36" s="1"/>
      <c r="T36" s="8"/>
    </row>
    <row r="37" spans="1:20" x14ac:dyDescent="0.35">
      <c r="T37" s="8"/>
    </row>
    <row r="38" spans="1:20" x14ac:dyDescent="0.35">
      <c r="B38" s="21" t="s">
        <v>257</v>
      </c>
      <c r="C38" s="21"/>
      <c r="D38" s="24"/>
      <c r="E38" s="83"/>
      <c r="F38" s="4"/>
      <c r="J38" s="1"/>
      <c r="K38" s="1"/>
      <c r="M38"/>
      <c r="N38"/>
      <c r="O38"/>
    </row>
    <row r="39" spans="1:20" x14ac:dyDescent="0.35">
      <c r="B39" s="21" t="s">
        <v>262</v>
      </c>
      <c r="C39" s="21"/>
      <c r="D39" s="24"/>
      <c r="E39" s="83"/>
      <c r="F39" s="4"/>
      <c r="J39" s="1"/>
      <c r="K39" s="1"/>
      <c r="M39"/>
      <c r="N39"/>
      <c r="O39"/>
    </row>
    <row r="40" spans="1:20" x14ac:dyDescent="0.35">
      <c r="B40" s="21" t="s">
        <v>258</v>
      </c>
      <c r="C40" s="21"/>
      <c r="D40" s="24"/>
      <c r="E40" s="83"/>
    </row>
    <row r="41" spans="1:20" x14ac:dyDescent="0.35">
      <c r="B41" s="21" t="s">
        <v>259</v>
      </c>
      <c r="C41" s="21"/>
      <c r="D41" s="24"/>
      <c r="E41" s="83"/>
    </row>
    <row r="42" spans="1:20" x14ac:dyDescent="0.35">
      <c r="B42" s="21" t="s">
        <v>260</v>
      </c>
      <c r="C42" s="21"/>
      <c r="D42" s="24"/>
      <c r="E42" s="83"/>
    </row>
    <row r="43" spans="1:20" x14ac:dyDescent="0.35">
      <c r="B43" s="21" t="s">
        <v>261</v>
      </c>
      <c r="C43" s="21"/>
      <c r="D43" s="24"/>
      <c r="E43" s="83"/>
    </row>
    <row r="44" spans="1:20" x14ac:dyDescent="0.35">
      <c r="B44" s="21" t="s">
        <v>264</v>
      </c>
      <c r="C44" s="21"/>
      <c r="D44" s="24"/>
      <c r="E44" s="83"/>
    </row>
    <row r="45" spans="1:20" x14ac:dyDescent="0.35">
      <c r="B45" s="21" t="s">
        <v>263</v>
      </c>
      <c r="C45" s="21"/>
      <c r="D45" s="24"/>
      <c r="E45" s="83"/>
    </row>
    <row r="46" spans="1:20" x14ac:dyDescent="0.35">
      <c r="B46" s="21" t="s">
        <v>265</v>
      </c>
      <c r="C46" s="21"/>
      <c r="D46" s="24"/>
      <c r="E46" s="83"/>
    </row>
    <row r="47" spans="1:20" x14ac:dyDescent="0.35">
      <c r="B47" s="21"/>
      <c r="C47" s="21"/>
      <c r="D47" s="24"/>
      <c r="E47" s="83"/>
    </row>
    <row r="48" spans="1:20" x14ac:dyDescent="0.35">
      <c r="B48" s="21"/>
      <c r="C48" s="21"/>
      <c r="D48" s="24"/>
      <c r="E48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B70A-BF1C-4894-8957-ED54AA5F44FA}">
  <dimension ref="A1:T46"/>
  <sheetViews>
    <sheetView workbookViewId="0">
      <selection activeCell="D1" sqref="D1:E1"/>
    </sheetView>
  </sheetViews>
  <sheetFormatPr defaultRowHeight="14.5" x14ac:dyDescent="0.35"/>
  <cols>
    <col min="1" max="1" width="15.81640625" bestFit="1" customWidth="1"/>
    <col min="2" max="2" width="25.54296875" customWidth="1"/>
    <col min="3" max="3" width="6.7265625" customWidth="1"/>
    <col min="4" max="5" width="25.54296875" customWidth="1"/>
    <col min="6" max="6" width="15.81640625" customWidth="1"/>
    <col min="7" max="7" width="16.453125" style="1" customWidth="1"/>
    <col min="8" max="8" width="17.54296875" style="1" customWidth="1"/>
    <col min="9" max="9" width="17.81640625" style="1" customWidth="1"/>
    <col min="10" max="11" width="17.26953125" customWidth="1"/>
    <col min="12" max="12" width="9.81640625" customWidth="1"/>
    <col min="13" max="13" width="7.1796875" style="2" customWidth="1"/>
    <col min="14" max="15" width="14.54296875" style="2" bestFit="1" customWidth="1"/>
    <col min="16" max="16" width="9.453125" customWidth="1"/>
    <col min="17" max="17" width="12.54296875" customWidth="1"/>
    <col min="18" max="18" width="12.81640625" customWidth="1"/>
    <col min="19" max="19" width="14.1796875" customWidth="1"/>
  </cols>
  <sheetData>
    <row r="1" spans="1:19" s="8" customFormat="1" x14ac:dyDescent="0.35">
      <c r="A1" s="5" t="s">
        <v>15</v>
      </c>
      <c r="B1" s="5" t="s">
        <v>231</v>
      </c>
      <c r="C1" s="5" t="s">
        <v>356</v>
      </c>
      <c r="D1" s="22" t="s">
        <v>365</v>
      </c>
      <c r="E1" s="22" t="s">
        <v>366</v>
      </c>
      <c r="F1" s="5" t="s">
        <v>20</v>
      </c>
      <c r="G1" s="6" t="s">
        <v>80</v>
      </c>
      <c r="H1" s="6" t="s">
        <v>33</v>
      </c>
      <c r="I1" s="6" t="s">
        <v>47</v>
      </c>
      <c r="J1" s="5" t="s">
        <v>37</v>
      </c>
      <c r="K1" s="5" t="s">
        <v>38</v>
      </c>
      <c r="L1" s="5" t="s">
        <v>21</v>
      </c>
      <c r="M1" s="7" t="s">
        <v>14</v>
      </c>
      <c r="N1" s="7" t="s">
        <v>45</v>
      </c>
      <c r="O1" s="7" t="s">
        <v>46</v>
      </c>
      <c r="P1" s="5" t="s">
        <v>19</v>
      </c>
      <c r="Q1" s="5" t="s">
        <v>22</v>
      </c>
      <c r="R1" s="5" t="s">
        <v>35</v>
      </c>
      <c r="S1" s="5" t="s">
        <v>36</v>
      </c>
    </row>
    <row r="2" spans="1:19" s="8" customFormat="1" x14ac:dyDescent="0.35">
      <c r="A2" s="8" t="s">
        <v>81</v>
      </c>
      <c r="B2" s="21"/>
      <c r="C2" s="21"/>
      <c r="D2" s="24"/>
      <c r="E2" s="24"/>
      <c r="F2" s="9">
        <v>44683</v>
      </c>
      <c r="G2" s="10">
        <v>225000</v>
      </c>
      <c r="H2" s="10">
        <v>225000</v>
      </c>
      <c r="I2" s="10">
        <v>225000</v>
      </c>
      <c r="J2" s="10">
        <f>G2-I2</f>
        <v>0</v>
      </c>
      <c r="K2" s="10">
        <f>H2-I2</f>
        <v>0</v>
      </c>
      <c r="L2" s="11">
        <v>1</v>
      </c>
      <c r="M2" s="12">
        <v>0.1</v>
      </c>
      <c r="N2" s="13">
        <f>J2*M2</f>
        <v>0</v>
      </c>
      <c r="O2" s="13">
        <f>L2*G2*M2</f>
        <v>22500</v>
      </c>
      <c r="P2" s="12">
        <v>0.15</v>
      </c>
      <c r="Q2" s="10">
        <f>I2*L2*M2*P2</f>
        <v>3375</v>
      </c>
      <c r="R2" s="10">
        <f>J2*L2*M2*P2</f>
        <v>0</v>
      </c>
      <c r="S2" s="10">
        <f>K2*L2*M2*P2</f>
        <v>0</v>
      </c>
    </row>
    <row r="3" spans="1:19" x14ac:dyDescent="0.35">
      <c r="A3" s="8" t="s">
        <v>82</v>
      </c>
      <c r="B3" s="21" t="s">
        <v>240</v>
      </c>
      <c r="C3" s="21" t="s">
        <v>358</v>
      </c>
      <c r="D3" s="24">
        <f t="shared" ref="D3:D32" si="0">(H3-G3)/G3*100</f>
        <v>0</v>
      </c>
      <c r="E3" s="24"/>
      <c r="F3" s="9">
        <v>44644</v>
      </c>
      <c r="G3" s="10">
        <v>400000</v>
      </c>
      <c r="H3" s="10">
        <v>400000</v>
      </c>
      <c r="I3" s="10">
        <v>400000</v>
      </c>
      <c r="J3" s="10">
        <f>G3-I3</f>
        <v>0</v>
      </c>
      <c r="K3" s="10">
        <f>H3-I3</f>
        <v>0</v>
      </c>
      <c r="L3" s="11">
        <v>1</v>
      </c>
      <c r="M3" s="12">
        <v>0.1</v>
      </c>
      <c r="N3" s="13">
        <f>J3*M3</f>
        <v>0</v>
      </c>
      <c r="O3" s="13">
        <f>L3*G3*M3</f>
        <v>40000</v>
      </c>
      <c r="P3" s="12">
        <v>0.15</v>
      </c>
      <c r="Q3" s="10">
        <f>I3*L3*M3*P3</f>
        <v>6000</v>
      </c>
      <c r="R3" s="10">
        <f>J3*L3*M3*P3</f>
        <v>0</v>
      </c>
      <c r="S3" s="10">
        <f>K3*L3*M3*P3</f>
        <v>0</v>
      </c>
    </row>
    <row r="4" spans="1:19" s="8" customFormat="1" x14ac:dyDescent="0.35">
      <c r="A4" s="8" t="s">
        <v>83</v>
      </c>
      <c r="B4" s="21" t="s">
        <v>236</v>
      </c>
      <c r="C4" s="21" t="s">
        <v>357</v>
      </c>
      <c r="D4" s="25">
        <f>(H4-G4)/G4*100</f>
        <v>0</v>
      </c>
      <c r="E4" s="25"/>
      <c r="F4" s="9">
        <v>44649</v>
      </c>
      <c r="G4" s="10">
        <v>175000</v>
      </c>
      <c r="H4" s="10">
        <v>175000</v>
      </c>
      <c r="I4" s="10">
        <v>175000</v>
      </c>
      <c r="J4" s="10">
        <f t="shared" ref="J4:J32" si="1">G4-I4</f>
        <v>0</v>
      </c>
      <c r="K4" s="10">
        <f t="shared" ref="K4:K32" si="2">H4-I4</f>
        <v>0</v>
      </c>
      <c r="L4" s="11">
        <v>1</v>
      </c>
      <c r="M4" s="12">
        <v>0.1</v>
      </c>
      <c r="N4" s="13">
        <f t="shared" ref="N4:N32" si="3">J4*M4</f>
        <v>0</v>
      </c>
      <c r="O4" s="13">
        <f t="shared" ref="O4:O32" si="4">L4*G4*M4</f>
        <v>17500</v>
      </c>
      <c r="P4" s="12">
        <v>0.15</v>
      </c>
      <c r="Q4" s="10">
        <f t="shared" ref="Q4:Q32" si="5">I4*L4*M4*P4</f>
        <v>2625</v>
      </c>
      <c r="R4" s="10">
        <f t="shared" ref="R4:R32" si="6">J4*L4*M4*P4</f>
        <v>0</v>
      </c>
      <c r="S4" s="10">
        <f t="shared" ref="S4:S32" si="7">K4*L4*M4*P4</f>
        <v>0</v>
      </c>
    </row>
    <row r="5" spans="1:19" s="8" customFormat="1" x14ac:dyDescent="0.35">
      <c r="A5" s="8" t="s">
        <v>84</v>
      </c>
      <c r="B5" s="21" t="s">
        <v>232</v>
      </c>
      <c r="C5" s="21" t="s">
        <v>357</v>
      </c>
      <c r="D5" s="24">
        <f t="shared" si="0"/>
        <v>0</v>
      </c>
      <c r="E5" s="24"/>
      <c r="F5" s="9">
        <v>44641</v>
      </c>
      <c r="G5" s="10">
        <v>130000</v>
      </c>
      <c r="H5" s="10">
        <v>130000</v>
      </c>
      <c r="I5" s="10">
        <v>130000</v>
      </c>
      <c r="J5" s="10">
        <f t="shared" si="1"/>
        <v>0</v>
      </c>
      <c r="K5" s="10">
        <f t="shared" si="2"/>
        <v>0</v>
      </c>
      <c r="L5" s="11">
        <v>1</v>
      </c>
      <c r="M5" s="12">
        <v>0.1</v>
      </c>
      <c r="N5" s="13">
        <f t="shared" si="3"/>
        <v>0</v>
      </c>
      <c r="O5" s="13">
        <f t="shared" si="4"/>
        <v>13000</v>
      </c>
      <c r="P5" s="12">
        <v>0.15</v>
      </c>
      <c r="Q5" s="10">
        <f t="shared" si="5"/>
        <v>1950</v>
      </c>
      <c r="R5" s="10">
        <f t="shared" si="6"/>
        <v>0</v>
      </c>
      <c r="S5" s="10">
        <f t="shared" si="7"/>
        <v>0</v>
      </c>
    </row>
    <row r="6" spans="1:19" s="8" customFormat="1" x14ac:dyDescent="0.35">
      <c r="A6" s="8" t="s">
        <v>85</v>
      </c>
      <c r="B6" s="21" t="s">
        <v>246</v>
      </c>
      <c r="C6" s="21" t="s">
        <v>358</v>
      </c>
      <c r="D6" s="26" t="s">
        <v>245</v>
      </c>
      <c r="E6" s="26"/>
      <c r="F6" s="9">
        <v>44596</v>
      </c>
      <c r="G6" s="10">
        <v>200000</v>
      </c>
      <c r="H6" s="10">
        <v>200000</v>
      </c>
      <c r="I6" s="10">
        <v>200000</v>
      </c>
      <c r="J6" s="10">
        <f t="shared" si="1"/>
        <v>0</v>
      </c>
      <c r="K6" s="10">
        <f t="shared" si="2"/>
        <v>0</v>
      </c>
      <c r="L6" s="11">
        <v>1</v>
      </c>
      <c r="M6" s="12">
        <v>0.1</v>
      </c>
      <c r="N6" s="13">
        <f t="shared" si="3"/>
        <v>0</v>
      </c>
      <c r="O6" s="13">
        <f t="shared" si="4"/>
        <v>20000</v>
      </c>
      <c r="P6" s="12">
        <v>0.15</v>
      </c>
      <c r="Q6" s="10">
        <f t="shared" si="5"/>
        <v>3000</v>
      </c>
      <c r="R6" s="10">
        <f t="shared" si="6"/>
        <v>0</v>
      </c>
      <c r="S6" s="10">
        <f t="shared" si="7"/>
        <v>0</v>
      </c>
    </row>
    <row r="7" spans="1:19" s="8" customFormat="1" x14ac:dyDescent="0.35">
      <c r="A7" s="8" t="s">
        <v>86</v>
      </c>
      <c r="B7" s="21" t="s">
        <v>234</v>
      </c>
      <c r="C7" s="21" t="s">
        <v>357</v>
      </c>
      <c r="D7" s="24">
        <f t="shared" si="0"/>
        <v>0</v>
      </c>
      <c r="E7" s="24"/>
      <c r="F7" s="9">
        <v>44585</v>
      </c>
      <c r="G7" s="10">
        <v>170000</v>
      </c>
      <c r="H7" s="10">
        <v>170000</v>
      </c>
      <c r="I7" s="10">
        <v>170000</v>
      </c>
      <c r="J7" s="10">
        <f t="shared" si="1"/>
        <v>0</v>
      </c>
      <c r="K7" s="10">
        <f t="shared" si="2"/>
        <v>0</v>
      </c>
      <c r="L7" s="11">
        <v>1</v>
      </c>
      <c r="M7" s="12">
        <v>0.1</v>
      </c>
      <c r="N7" s="13">
        <f t="shared" si="3"/>
        <v>0</v>
      </c>
      <c r="O7" s="13">
        <f t="shared" si="4"/>
        <v>17000</v>
      </c>
      <c r="P7" s="12">
        <v>0.15</v>
      </c>
      <c r="Q7" s="10">
        <f t="shared" si="5"/>
        <v>2550</v>
      </c>
      <c r="R7" s="10">
        <f t="shared" si="6"/>
        <v>0</v>
      </c>
      <c r="S7" s="10">
        <f t="shared" si="7"/>
        <v>0</v>
      </c>
    </row>
    <row r="8" spans="1:19" s="8" customFormat="1" x14ac:dyDescent="0.35">
      <c r="A8" s="18" t="s">
        <v>87</v>
      </c>
      <c r="B8" s="21" t="s">
        <v>241</v>
      </c>
      <c r="C8" s="21" t="s">
        <v>358</v>
      </c>
      <c r="D8" s="24">
        <f t="shared" si="0"/>
        <v>0</v>
      </c>
      <c r="E8" s="24"/>
      <c r="F8" s="9">
        <v>44579</v>
      </c>
      <c r="G8" s="10">
        <v>130000</v>
      </c>
      <c r="H8" s="10">
        <v>130000</v>
      </c>
      <c r="I8" s="10">
        <v>130000</v>
      </c>
      <c r="J8" s="10">
        <f t="shared" si="1"/>
        <v>0</v>
      </c>
      <c r="K8" s="10">
        <f t="shared" si="2"/>
        <v>0</v>
      </c>
      <c r="L8" s="11">
        <v>1</v>
      </c>
      <c r="M8" s="12">
        <v>0.1</v>
      </c>
      <c r="N8" s="13">
        <f t="shared" si="3"/>
        <v>0</v>
      </c>
      <c r="O8" s="13">
        <f t="shared" si="4"/>
        <v>13000</v>
      </c>
      <c r="P8" s="12">
        <v>0.15</v>
      </c>
      <c r="Q8" s="10">
        <f t="shared" si="5"/>
        <v>1950</v>
      </c>
      <c r="R8" s="10">
        <f t="shared" si="6"/>
        <v>0</v>
      </c>
      <c r="S8" s="10">
        <f t="shared" si="7"/>
        <v>0</v>
      </c>
    </row>
    <row r="9" spans="1:19" s="8" customFormat="1" x14ac:dyDescent="0.35">
      <c r="A9" s="8" t="s">
        <v>88</v>
      </c>
      <c r="B9" s="21" t="s">
        <v>236</v>
      </c>
      <c r="C9" s="21" t="s">
        <v>357</v>
      </c>
      <c r="D9" s="24">
        <f t="shared" si="0"/>
        <v>0</v>
      </c>
      <c r="E9" s="24"/>
      <c r="F9" s="9">
        <v>44683</v>
      </c>
      <c r="G9" s="10">
        <v>350000</v>
      </c>
      <c r="H9" s="10">
        <v>350000</v>
      </c>
      <c r="I9" s="10">
        <v>350000</v>
      </c>
      <c r="J9" s="10">
        <f t="shared" si="1"/>
        <v>0</v>
      </c>
      <c r="K9" s="10">
        <f t="shared" si="2"/>
        <v>0</v>
      </c>
      <c r="L9" s="11">
        <v>1</v>
      </c>
      <c r="M9" s="12">
        <v>0.1</v>
      </c>
      <c r="N9" s="13">
        <f t="shared" si="3"/>
        <v>0</v>
      </c>
      <c r="O9" s="13">
        <f t="shared" si="4"/>
        <v>35000</v>
      </c>
      <c r="P9" s="12">
        <v>0.15</v>
      </c>
      <c r="Q9" s="10">
        <f t="shared" si="5"/>
        <v>5250</v>
      </c>
      <c r="R9" s="10">
        <f t="shared" si="6"/>
        <v>0</v>
      </c>
      <c r="S9" s="10">
        <f t="shared" si="7"/>
        <v>0</v>
      </c>
    </row>
    <row r="10" spans="1:19" s="8" customFormat="1" x14ac:dyDescent="0.35">
      <c r="A10" s="8" t="s">
        <v>89</v>
      </c>
      <c r="B10" s="21" t="s">
        <v>232</v>
      </c>
      <c r="C10" s="21" t="s">
        <v>357</v>
      </c>
      <c r="D10" s="25">
        <f t="shared" si="0"/>
        <v>0</v>
      </c>
      <c r="E10" s="25"/>
      <c r="F10" s="9">
        <v>44684</v>
      </c>
      <c r="G10" s="10">
        <v>300000</v>
      </c>
      <c r="H10" s="10">
        <v>300000</v>
      </c>
      <c r="I10" s="10">
        <v>300000</v>
      </c>
      <c r="J10" s="10">
        <f t="shared" si="1"/>
        <v>0</v>
      </c>
      <c r="K10" s="10">
        <f t="shared" si="2"/>
        <v>0</v>
      </c>
      <c r="L10" s="11">
        <v>1</v>
      </c>
      <c r="M10" s="12">
        <v>0.1</v>
      </c>
      <c r="N10" s="13">
        <f t="shared" si="3"/>
        <v>0</v>
      </c>
      <c r="O10" s="13">
        <f t="shared" si="4"/>
        <v>30000</v>
      </c>
      <c r="P10" s="12">
        <v>0.15</v>
      </c>
      <c r="Q10" s="10">
        <f t="shared" si="5"/>
        <v>4500</v>
      </c>
      <c r="R10" s="10">
        <f t="shared" si="6"/>
        <v>0</v>
      </c>
      <c r="S10" s="10">
        <f t="shared" si="7"/>
        <v>0</v>
      </c>
    </row>
    <row r="11" spans="1:19" s="8" customFormat="1" x14ac:dyDescent="0.35">
      <c r="A11" s="8" t="s">
        <v>90</v>
      </c>
      <c r="B11" s="21" t="s">
        <v>232</v>
      </c>
      <c r="C11" s="21" t="s">
        <v>357</v>
      </c>
      <c r="D11" s="27">
        <f t="shared" si="0"/>
        <v>0</v>
      </c>
      <c r="E11" s="27"/>
      <c r="F11" s="9">
        <v>44687</v>
      </c>
      <c r="G11" s="10">
        <v>80000</v>
      </c>
      <c r="H11" s="10">
        <v>80000</v>
      </c>
      <c r="I11" s="10">
        <v>80000</v>
      </c>
      <c r="J11" s="10">
        <f t="shared" si="1"/>
        <v>0</v>
      </c>
      <c r="K11" s="10">
        <f t="shared" si="2"/>
        <v>0</v>
      </c>
      <c r="L11" s="11">
        <v>1</v>
      </c>
      <c r="M11" s="12">
        <v>0.1</v>
      </c>
      <c r="N11" s="13">
        <f t="shared" si="3"/>
        <v>0</v>
      </c>
      <c r="O11" s="13">
        <f t="shared" si="4"/>
        <v>8000</v>
      </c>
      <c r="P11" s="12">
        <v>0.15</v>
      </c>
      <c r="Q11" s="10">
        <f t="shared" si="5"/>
        <v>1200</v>
      </c>
      <c r="R11" s="10">
        <f t="shared" si="6"/>
        <v>0</v>
      </c>
      <c r="S11" s="10">
        <f t="shared" si="7"/>
        <v>0</v>
      </c>
    </row>
    <row r="12" spans="1:19" s="8" customFormat="1" x14ac:dyDescent="0.35">
      <c r="A12" s="8" t="s">
        <v>91</v>
      </c>
      <c r="B12" s="21" t="s">
        <v>246</v>
      </c>
      <c r="C12" s="21" t="s">
        <v>358</v>
      </c>
      <c r="D12" s="26" t="s">
        <v>245</v>
      </c>
      <c r="E12" s="26"/>
      <c r="F12" s="9">
        <v>44665</v>
      </c>
      <c r="G12" s="10">
        <v>200000</v>
      </c>
      <c r="H12" s="10">
        <v>200000</v>
      </c>
      <c r="I12" s="10">
        <v>200000</v>
      </c>
      <c r="J12" s="10">
        <f t="shared" si="1"/>
        <v>0</v>
      </c>
      <c r="K12" s="10">
        <f t="shared" si="2"/>
        <v>0</v>
      </c>
      <c r="L12" s="11">
        <v>0.15</v>
      </c>
      <c r="M12" s="12">
        <v>7.0000000000000007E-2</v>
      </c>
      <c r="N12" s="13">
        <f t="shared" si="3"/>
        <v>0</v>
      </c>
      <c r="O12" s="13">
        <f t="shared" si="4"/>
        <v>2100</v>
      </c>
      <c r="P12" s="12">
        <v>0.15</v>
      </c>
      <c r="Q12" s="10">
        <f t="shared" si="5"/>
        <v>315</v>
      </c>
      <c r="R12" s="10">
        <f t="shared" si="6"/>
        <v>0</v>
      </c>
      <c r="S12" s="10">
        <f t="shared" si="7"/>
        <v>0</v>
      </c>
    </row>
    <row r="13" spans="1:19" s="8" customFormat="1" x14ac:dyDescent="0.35">
      <c r="A13" s="8" t="s">
        <v>92</v>
      </c>
      <c r="B13" s="21" t="s">
        <v>232</v>
      </c>
      <c r="C13" s="21" t="s">
        <v>357</v>
      </c>
      <c r="D13" s="25">
        <f t="shared" si="0"/>
        <v>0</v>
      </c>
      <c r="E13" s="25"/>
      <c r="F13" s="9">
        <v>44701</v>
      </c>
      <c r="G13" s="10">
        <v>90000</v>
      </c>
      <c r="H13" s="10">
        <v>90000</v>
      </c>
      <c r="I13" s="10">
        <v>90000</v>
      </c>
      <c r="J13" s="10">
        <f t="shared" si="1"/>
        <v>0</v>
      </c>
      <c r="K13" s="10">
        <f t="shared" si="2"/>
        <v>0</v>
      </c>
      <c r="L13" s="11">
        <v>1</v>
      </c>
      <c r="M13" s="12">
        <v>0.1</v>
      </c>
      <c r="N13" s="13">
        <f t="shared" si="3"/>
        <v>0</v>
      </c>
      <c r="O13" s="13">
        <f t="shared" si="4"/>
        <v>9000</v>
      </c>
      <c r="P13" s="12">
        <v>0.15</v>
      </c>
      <c r="Q13" s="10">
        <f t="shared" si="5"/>
        <v>1350</v>
      </c>
      <c r="R13" s="10">
        <f t="shared" si="6"/>
        <v>0</v>
      </c>
      <c r="S13" s="10">
        <f t="shared" si="7"/>
        <v>0</v>
      </c>
    </row>
    <row r="14" spans="1:19" s="8" customFormat="1" x14ac:dyDescent="0.35">
      <c r="A14" s="8" t="s">
        <v>93</v>
      </c>
      <c r="B14" s="21" t="s">
        <v>232</v>
      </c>
      <c r="C14" s="21" t="s">
        <v>357</v>
      </c>
      <c r="D14" s="25">
        <f t="shared" si="0"/>
        <v>0</v>
      </c>
      <c r="E14" s="25"/>
      <c r="F14" s="9">
        <v>44747</v>
      </c>
      <c r="G14" s="10">
        <v>200000</v>
      </c>
      <c r="H14" s="10">
        <v>200000</v>
      </c>
      <c r="I14" s="10">
        <v>175000</v>
      </c>
      <c r="J14" s="10">
        <f t="shared" si="1"/>
        <v>25000</v>
      </c>
      <c r="K14" s="10">
        <f t="shared" si="2"/>
        <v>25000</v>
      </c>
      <c r="L14" s="11">
        <v>1</v>
      </c>
      <c r="M14" s="12">
        <v>0.1</v>
      </c>
      <c r="N14" s="13">
        <f t="shared" si="3"/>
        <v>2500</v>
      </c>
      <c r="O14" s="13">
        <f t="shared" si="4"/>
        <v>20000</v>
      </c>
      <c r="P14" s="12">
        <v>0.15</v>
      </c>
      <c r="Q14" s="10">
        <f t="shared" si="5"/>
        <v>2625</v>
      </c>
      <c r="R14" s="10">
        <f t="shared" si="6"/>
        <v>375</v>
      </c>
      <c r="S14" s="10">
        <f t="shared" si="7"/>
        <v>375</v>
      </c>
    </row>
    <row r="15" spans="1:19" s="8" customFormat="1" x14ac:dyDescent="0.35">
      <c r="A15" s="8" t="s">
        <v>94</v>
      </c>
      <c r="B15" s="21" t="s">
        <v>232</v>
      </c>
      <c r="C15" s="21" t="s">
        <v>357</v>
      </c>
      <c r="D15" s="25">
        <f t="shared" si="0"/>
        <v>0</v>
      </c>
      <c r="E15" s="25"/>
      <c r="F15" s="9">
        <v>44767</v>
      </c>
      <c r="G15" s="10">
        <v>350000</v>
      </c>
      <c r="H15" s="10">
        <v>350000</v>
      </c>
      <c r="I15" s="10">
        <v>350000</v>
      </c>
      <c r="J15" s="10">
        <f t="shared" si="1"/>
        <v>0</v>
      </c>
      <c r="K15" s="10">
        <f t="shared" si="2"/>
        <v>0</v>
      </c>
      <c r="L15" s="11">
        <v>1</v>
      </c>
      <c r="M15" s="12">
        <v>0.08</v>
      </c>
      <c r="N15" s="13">
        <f t="shared" si="3"/>
        <v>0</v>
      </c>
      <c r="O15" s="13">
        <f t="shared" si="4"/>
        <v>28000</v>
      </c>
      <c r="P15" s="12">
        <v>0.15</v>
      </c>
      <c r="Q15" s="10">
        <f t="shared" si="5"/>
        <v>4200</v>
      </c>
      <c r="R15" s="10">
        <f t="shared" si="6"/>
        <v>0</v>
      </c>
      <c r="S15" s="10">
        <f t="shared" si="7"/>
        <v>0</v>
      </c>
    </row>
    <row r="16" spans="1:19" s="8" customFormat="1" x14ac:dyDescent="0.35">
      <c r="A16" s="8" t="s">
        <v>95</v>
      </c>
      <c r="B16" s="21" t="s">
        <v>232</v>
      </c>
      <c r="C16" s="21" t="s">
        <v>357</v>
      </c>
      <c r="D16" s="25">
        <f t="shared" si="0"/>
        <v>-14.285714285714285</v>
      </c>
      <c r="E16" s="25"/>
      <c r="F16" s="9">
        <v>44769</v>
      </c>
      <c r="G16" s="10">
        <v>350000</v>
      </c>
      <c r="H16" s="10">
        <v>300000</v>
      </c>
      <c r="I16" s="10">
        <v>0</v>
      </c>
      <c r="J16" s="10">
        <f t="shared" si="1"/>
        <v>350000</v>
      </c>
      <c r="K16" s="10">
        <f t="shared" si="2"/>
        <v>300000</v>
      </c>
      <c r="L16" s="11">
        <v>1</v>
      </c>
      <c r="M16" s="12">
        <v>0.1</v>
      </c>
      <c r="N16" s="13">
        <f t="shared" si="3"/>
        <v>35000</v>
      </c>
      <c r="O16" s="13">
        <f t="shared" si="4"/>
        <v>35000</v>
      </c>
      <c r="P16" s="12">
        <v>0.15</v>
      </c>
      <c r="Q16" s="10">
        <f t="shared" si="5"/>
        <v>0</v>
      </c>
      <c r="R16" s="10">
        <f t="shared" si="6"/>
        <v>5250</v>
      </c>
      <c r="S16" s="10">
        <f t="shared" si="7"/>
        <v>4500</v>
      </c>
    </row>
    <row r="17" spans="1:19" s="8" customFormat="1" x14ac:dyDescent="0.35">
      <c r="A17" s="8" t="s">
        <v>96</v>
      </c>
      <c r="B17" s="21" t="s">
        <v>236</v>
      </c>
      <c r="C17" s="21" t="s">
        <v>357</v>
      </c>
      <c r="D17" s="27">
        <f t="shared" si="0"/>
        <v>-40</v>
      </c>
      <c r="E17" s="27"/>
      <c r="F17" s="9">
        <v>44765</v>
      </c>
      <c r="G17" s="10">
        <v>100000</v>
      </c>
      <c r="H17" s="10">
        <v>60000</v>
      </c>
      <c r="I17" s="10">
        <v>0</v>
      </c>
      <c r="J17" s="10">
        <f t="shared" si="1"/>
        <v>100000</v>
      </c>
      <c r="K17" s="10">
        <f t="shared" si="2"/>
        <v>60000</v>
      </c>
      <c r="L17" s="11">
        <v>0.75</v>
      </c>
      <c r="M17" s="12">
        <v>0.1</v>
      </c>
      <c r="N17" s="13">
        <f t="shared" si="3"/>
        <v>10000</v>
      </c>
      <c r="O17" s="13">
        <f t="shared" si="4"/>
        <v>7500</v>
      </c>
      <c r="P17" s="12">
        <v>0.15</v>
      </c>
      <c r="Q17" s="10">
        <f t="shared" si="5"/>
        <v>0</v>
      </c>
      <c r="R17" s="10">
        <f t="shared" si="6"/>
        <v>1125</v>
      </c>
      <c r="S17" s="10">
        <f t="shared" si="7"/>
        <v>675</v>
      </c>
    </row>
    <row r="18" spans="1:19" s="8" customFormat="1" x14ac:dyDescent="0.35">
      <c r="A18" s="8" t="s">
        <v>97</v>
      </c>
      <c r="B18" s="21" t="s">
        <v>232</v>
      </c>
      <c r="C18" s="21" t="s">
        <v>357</v>
      </c>
      <c r="D18" s="25" t="e">
        <f>(H18-G18)/G18*100</f>
        <v>#DIV/0!</v>
      </c>
      <c r="E18" s="25"/>
      <c r="F18" s="9">
        <v>44797</v>
      </c>
      <c r="G18" s="10">
        <v>0</v>
      </c>
      <c r="H18" s="10">
        <v>0</v>
      </c>
      <c r="I18" s="10">
        <v>0</v>
      </c>
      <c r="J18" s="10">
        <f t="shared" si="1"/>
        <v>0</v>
      </c>
      <c r="K18" s="10">
        <f t="shared" si="2"/>
        <v>0</v>
      </c>
      <c r="L18" s="11">
        <v>0.75</v>
      </c>
      <c r="M18" s="12">
        <v>0.1</v>
      </c>
      <c r="N18" s="13">
        <f t="shared" si="3"/>
        <v>0</v>
      </c>
      <c r="O18" s="13">
        <f t="shared" si="4"/>
        <v>0</v>
      </c>
      <c r="P18" s="12">
        <v>0.15</v>
      </c>
      <c r="Q18" s="10">
        <f t="shared" si="5"/>
        <v>0</v>
      </c>
      <c r="R18" s="10">
        <f t="shared" si="6"/>
        <v>0</v>
      </c>
      <c r="S18" s="10">
        <f t="shared" si="7"/>
        <v>0</v>
      </c>
    </row>
    <row r="19" spans="1:19" s="8" customFormat="1" x14ac:dyDescent="0.35">
      <c r="A19" s="8" t="s">
        <v>98</v>
      </c>
      <c r="B19" s="21" t="s">
        <v>232</v>
      </c>
      <c r="C19" s="21" t="s">
        <v>357</v>
      </c>
      <c r="D19" s="25">
        <f>(H19-G19)/G19*100</f>
        <v>0</v>
      </c>
      <c r="E19" s="25"/>
      <c r="F19" s="9">
        <v>44797</v>
      </c>
      <c r="G19" s="10">
        <v>200000</v>
      </c>
      <c r="H19" s="10">
        <v>200000</v>
      </c>
      <c r="I19" s="10">
        <v>0</v>
      </c>
      <c r="J19" s="10">
        <f t="shared" si="1"/>
        <v>200000</v>
      </c>
      <c r="K19" s="10">
        <f t="shared" si="2"/>
        <v>200000</v>
      </c>
      <c r="L19" s="11">
        <v>1</v>
      </c>
      <c r="M19" s="12">
        <v>0.1</v>
      </c>
      <c r="N19" s="13">
        <f t="shared" si="3"/>
        <v>20000</v>
      </c>
      <c r="O19" s="13">
        <f t="shared" si="4"/>
        <v>20000</v>
      </c>
      <c r="P19" s="12">
        <v>0.15</v>
      </c>
      <c r="Q19" s="10">
        <f t="shared" si="5"/>
        <v>0</v>
      </c>
      <c r="R19" s="10">
        <f t="shared" si="6"/>
        <v>3000</v>
      </c>
      <c r="S19" s="10">
        <f t="shared" si="7"/>
        <v>3000</v>
      </c>
    </row>
    <row r="20" spans="1:19" s="8" customFormat="1" x14ac:dyDescent="0.35">
      <c r="A20" s="8" t="s">
        <v>100</v>
      </c>
      <c r="B20" s="21" t="s">
        <v>232</v>
      </c>
      <c r="C20" s="21" t="s">
        <v>357</v>
      </c>
      <c r="D20" s="26" t="s">
        <v>245</v>
      </c>
      <c r="E20" s="26"/>
      <c r="F20" s="9">
        <v>44804</v>
      </c>
      <c r="G20" s="10">
        <v>225000</v>
      </c>
      <c r="H20" s="10">
        <v>225000</v>
      </c>
      <c r="I20" s="10">
        <v>0</v>
      </c>
      <c r="J20" s="10">
        <f t="shared" si="1"/>
        <v>225000</v>
      </c>
      <c r="K20" s="10">
        <f t="shared" si="2"/>
        <v>225000</v>
      </c>
      <c r="L20" s="11">
        <v>1</v>
      </c>
      <c r="M20" s="12">
        <v>0.1</v>
      </c>
      <c r="N20" s="13">
        <f t="shared" si="3"/>
        <v>22500</v>
      </c>
      <c r="O20" s="13">
        <f t="shared" si="4"/>
        <v>22500</v>
      </c>
      <c r="P20" s="12">
        <v>0.15</v>
      </c>
      <c r="Q20" s="10">
        <f t="shared" si="5"/>
        <v>0</v>
      </c>
      <c r="R20" s="10">
        <f t="shared" si="6"/>
        <v>3375</v>
      </c>
      <c r="S20" s="10">
        <f t="shared" si="7"/>
        <v>3375</v>
      </c>
    </row>
    <row r="21" spans="1:19" s="8" customFormat="1" x14ac:dyDescent="0.35">
      <c r="A21" s="8" t="s">
        <v>99</v>
      </c>
      <c r="B21" s="21" t="s">
        <v>232</v>
      </c>
      <c r="C21" s="21" t="s">
        <v>357</v>
      </c>
      <c r="D21" s="24">
        <f t="shared" si="0"/>
        <v>-12.5</v>
      </c>
      <c r="E21" s="24"/>
      <c r="F21" s="9">
        <v>44813</v>
      </c>
      <c r="G21" s="10">
        <v>200000</v>
      </c>
      <c r="H21" s="10">
        <v>175000</v>
      </c>
      <c r="I21" s="10">
        <v>0</v>
      </c>
      <c r="J21" s="10">
        <f>G21-I21</f>
        <v>200000</v>
      </c>
      <c r="K21" s="10">
        <f>H21-I21</f>
        <v>175000</v>
      </c>
      <c r="L21" s="11">
        <v>1</v>
      </c>
      <c r="M21" s="12">
        <v>0.09</v>
      </c>
      <c r="N21" s="13">
        <f>J21*M21</f>
        <v>18000</v>
      </c>
      <c r="O21" s="13">
        <f>L21*G21*M21</f>
        <v>18000</v>
      </c>
      <c r="P21" s="12">
        <v>0.15</v>
      </c>
      <c r="Q21" s="10">
        <f>I21*L21*M21*P21</f>
        <v>0</v>
      </c>
      <c r="R21" s="10">
        <f>J21*L21*M21*P21</f>
        <v>2700</v>
      </c>
      <c r="S21" s="10">
        <f>K21*L21*M21*P21</f>
        <v>2362.5</v>
      </c>
    </row>
    <row r="22" spans="1:19" s="8" customFormat="1" x14ac:dyDescent="0.35">
      <c r="A22" s="8" t="s">
        <v>101</v>
      </c>
      <c r="B22" s="21" t="s">
        <v>238</v>
      </c>
      <c r="C22" s="21" t="s">
        <v>358</v>
      </c>
      <c r="D22" s="26" t="s">
        <v>245</v>
      </c>
      <c r="E22" s="26"/>
      <c r="F22" s="9">
        <v>44819</v>
      </c>
      <c r="G22" s="10">
        <v>75000</v>
      </c>
      <c r="H22" s="10">
        <v>75000</v>
      </c>
      <c r="I22" s="10">
        <v>0</v>
      </c>
      <c r="J22" s="10">
        <f t="shared" si="1"/>
        <v>75000</v>
      </c>
      <c r="K22" s="10">
        <f>H22-I22</f>
        <v>75000</v>
      </c>
      <c r="L22" s="11">
        <v>1</v>
      </c>
      <c r="M22" s="12">
        <v>0.1</v>
      </c>
      <c r="N22" s="13">
        <f t="shared" si="3"/>
        <v>7500</v>
      </c>
      <c r="O22" s="13">
        <f t="shared" si="4"/>
        <v>7500</v>
      </c>
      <c r="P22" s="12">
        <v>0.15</v>
      </c>
      <c r="Q22" s="10">
        <f t="shared" si="5"/>
        <v>0</v>
      </c>
      <c r="R22" s="10">
        <f t="shared" si="6"/>
        <v>1125</v>
      </c>
      <c r="S22" s="10">
        <f t="shared" si="7"/>
        <v>1125</v>
      </c>
    </row>
    <row r="23" spans="1:19" s="8" customFormat="1" x14ac:dyDescent="0.35">
      <c r="A23" s="8" t="s">
        <v>102</v>
      </c>
      <c r="B23" s="21" t="s">
        <v>237</v>
      </c>
      <c r="C23" s="21" t="s">
        <v>358</v>
      </c>
      <c r="D23" s="26" t="s">
        <v>245</v>
      </c>
      <c r="E23" s="26"/>
      <c r="F23" s="9">
        <v>44819</v>
      </c>
      <c r="G23" s="10">
        <v>285000</v>
      </c>
      <c r="H23" s="10">
        <v>285000</v>
      </c>
      <c r="I23" s="10">
        <v>285000</v>
      </c>
      <c r="J23" s="10">
        <f t="shared" si="1"/>
        <v>0</v>
      </c>
      <c r="K23" s="10">
        <f t="shared" si="2"/>
        <v>0</v>
      </c>
      <c r="L23" s="11">
        <v>0.75</v>
      </c>
      <c r="M23" s="12">
        <v>0.09</v>
      </c>
      <c r="N23" s="13">
        <f t="shared" si="3"/>
        <v>0</v>
      </c>
      <c r="O23" s="13">
        <f t="shared" si="4"/>
        <v>19237.5</v>
      </c>
      <c r="P23" s="12">
        <v>0.15</v>
      </c>
      <c r="Q23" s="10">
        <f t="shared" si="5"/>
        <v>2885.625</v>
      </c>
      <c r="R23" s="10">
        <f t="shared" si="6"/>
        <v>0</v>
      </c>
      <c r="S23" s="10">
        <f t="shared" si="7"/>
        <v>0</v>
      </c>
    </row>
    <row r="24" spans="1:19" s="8" customFormat="1" x14ac:dyDescent="0.35">
      <c r="A24" s="8" t="s">
        <v>103</v>
      </c>
      <c r="B24" s="21" t="s">
        <v>234</v>
      </c>
      <c r="C24" s="21" t="s">
        <v>357</v>
      </c>
      <c r="D24" s="27">
        <f t="shared" si="0"/>
        <v>0</v>
      </c>
      <c r="E24" s="27"/>
      <c r="F24" s="9">
        <v>44825</v>
      </c>
      <c r="G24" s="10">
        <v>160000</v>
      </c>
      <c r="H24" s="10">
        <v>160000</v>
      </c>
      <c r="I24" s="10">
        <v>0</v>
      </c>
      <c r="J24" s="10">
        <f t="shared" si="1"/>
        <v>160000</v>
      </c>
      <c r="K24" s="10">
        <f t="shared" si="2"/>
        <v>160000</v>
      </c>
      <c r="L24" s="11">
        <v>1</v>
      </c>
      <c r="M24" s="12">
        <v>0.1</v>
      </c>
      <c r="N24" s="13">
        <f t="shared" si="3"/>
        <v>16000</v>
      </c>
      <c r="O24" s="13">
        <f t="shared" si="4"/>
        <v>16000</v>
      </c>
      <c r="P24" s="12">
        <v>0.15</v>
      </c>
      <c r="Q24" s="10">
        <f t="shared" si="5"/>
        <v>0</v>
      </c>
      <c r="R24" s="10">
        <f t="shared" si="6"/>
        <v>2400</v>
      </c>
      <c r="S24" s="10">
        <f t="shared" si="7"/>
        <v>2400</v>
      </c>
    </row>
    <row r="25" spans="1:19" s="8" customFormat="1" x14ac:dyDescent="0.35">
      <c r="A25" s="8" t="s">
        <v>104</v>
      </c>
      <c r="B25" s="21" t="s">
        <v>240</v>
      </c>
      <c r="C25" s="21" t="s">
        <v>358</v>
      </c>
      <c r="D25" s="24">
        <v>0</v>
      </c>
      <c r="E25" s="24"/>
      <c r="F25" s="9">
        <v>44832</v>
      </c>
      <c r="G25" s="10">
        <v>1000000</v>
      </c>
      <c r="H25" s="10">
        <v>1150000</v>
      </c>
      <c r="I25" s="10">
        <v>950000</v>
      </c>
      <c r="J25" s="10">
        <f t="shared" si="1"/>
        <v>50000</v>
      </c>
      <c r="K25" s="10">
        <f t="shared" si="2"/>
        <v>200000</v>
      </c>
      <c r="L25" s="11">
        <v>1</v>
      </c>
      <c r="M25" s="12">
        <v>0.1</v>
      </c>
      <c r="N25" s="13">
        <f t="shared" si="3"/>
        <v>5000</v>
      </c>
      <c r="O25" s="13">
        <f t="shared" si="4"/>
        <v>100000</v>
      </c>
      <c r="P25" s="12">
        <v>0.15</v>
      </c>
      <c r="Q25" s="10">
        <f t="shared" si="5"/>
        <v>14250</v>
      </c>
      <c r="R25" s="10">
        <f t="shared" si="6"/>
        <v>750</v>
      </c>
      <c r="S25" s="10">
        <f t="shared" si="7"/>
        <v>3000</v>
      </c>
    </row>
    <row r="26" spans="1:19" s="8" customFormat="1" x14ac:dyDescent="0.35">
      <c r="A26" s="8" t="s">
        <v>105</v>
      </c>
      <c r="B26" s="21" t="s">
        <v>232</v>
      </c>
      <c r="C26" s="21" t="s">
        <v>357</v>
      </c>
      <c r="D26" s="25">
        <f t="shared" si="0"/>
        <v>0</v>
      </c>
      <c r="E26" s="25"/>
      <c r="F26" s="9">
        <v>44837</v>
      </c>
      <c r="G26" s="10">
        <v>160000</v>
      </c>
      <c r="H26" s="10">
        <v>160000</v>
      </c>
      <c r="I26" s="10">
        <v>33000</v>
      </c>
      <c r="J26" s="10">
        <f t="shared" si="1"/>
        <v>127000</v>
      </c>
      <c r="K26" s="10">
        <f t="shared" si="2"/>
        <v>127000</v>
      </c>
      <c r="L26" s="11">
        <v>1</v>
      </c>
      <c r="M26" s="12">
        <v>0.1</v>
      </c>
      <c r="N26" s="13">
        <f t="shared" si="3"/>
        <v>12700</v>
      </c>
      <c r="O26" s="13">
        <f t="shared" si="4"/>
        <v>16000</v>
      </c>
      <c r="P26" s="12">
        <v>0.15</v>
      </c>
      <c r="Q26" s="10">
        <f t="shared" si="5"/>
        <v>495</v>
      </c>
      <c r="R26" s="10">
        <f t="shared" si="6"/>
        <v>1905</v>
      </c>
      <c r="S26" s="10">
        <f t="shared" si="7"/>
        <v>1905</v>
      </c>
    </row>
    <row r="27" spans="1:19" s="8" customFormat="1" x14ac:dyDescent="0.35">
      <c r="A27" s="8" t="s">
        <v>106</v>
      </c>
      <c r="B27" s="21" t="s">
        <v>248</v>
      </c>
      <c r="C27" s="21" t="s">
        <v>358</v>
      </c>
      <c r="D27" s="26" t="s">
        <v>245</v>
      </c>
      <c r="E27" s="26"/>
      <c r="F27" s="9">
        <v>44847</v>
      </c>
      <c r="G27" s="10">
        <v>2000000</v>
      </c>
      <c r="H27" s="10">
        <v>2000000</v>
      </c>
      <c r="I27" s="10">
        <v>800000</v>
      </c>
      <c r="J27" s="10">
        <f>G27-I27</f>
        <v>1200000</v>
      </c>
      <c r="K27" s="10">
        <f>H27-I27</f>
        <v>1200000</v>
      </c>
      <c r="L27" s="11">
        <v>1</v>
      </c>
      <c r="M27" s="12">
        <v>0.1</v>
      </c>
      <c r="N27" s="13">
        <f>J27*M27</f>
        <v>120000</v>
      </c>
      <c r="O27" s="13">
        <f>L27*G27*M27</f>
        <v>200000</v>
      </c>
      <c r="P27" s="12">
        <v>0.15</v>
      </c>
      <c r="Q27" s="10">
        <f>I27*L27*M27*P27</f>
        <v>12000</v>
      </c>
      <c r="R27" s="10">
        <f>J27*L27*M27*P27</f>
        <v>18000</v>
      </c>
      <c r="S27" s="10">
        <f>K27*L27*M27*P27</f>
        <v>18000</v>
      </c>
    </row>
    <row r="28" spans="1:19" s="8" customFormat="1" x14ac:dyDescent="0.35">
      <c r="A28" s="8" t="s">
        <v>107</v>
      </c>
      <c r="B28" s="21" t="s">
        <v>234</v>
      </c>
      <c r="C28" s="21" t="s">
        <v>357</v>
      </c>
      <c r="D28" s="24">
        <f t="shared" si="0"/>
        <v>0</v>
      </c>
      <c r="E28" s="24"/>
      <c r="F28" s="9">
        <v>44847</v>
      </c>
      <c r="G28" s="10">
        <v>175000</v>
      </c>
      <c r="H28" s="10">
        <v>175000</v>
      </c>
      <c r="I28" s="10">
        <v>175000</v>
      </c>
      <c r="J28" s="10">
        <f>G28-I28</f>
        <v>0</v>
      </c>
      <c r="K28" s="10">
        <f>H28-I28</f>
        <v>0</v>
      </c>
      <c r="L28" s="11">
        <v>1</v>
      </c>
      <c r="M28" s="12">
        <v>0.1</v>
      </c>
      <c r="N28" s="13">
        <f>J28*M28</f>
        <v>0</v>
      </c>
      <c r="O28" s="13">
        <f>L28*G28*M28</f>
        <v>17500</v>
      </c>
      <c r="P28" s="12">
        <v>0.15</v>
      </c>
      <c r="Q28" s="10">
        <f>I28*L28*M28*P28</f>
        <v>2625</v>
      </c>
      <c r="R28" s="10">
        <f>J28*L28*M28*P28</f>
        <v>0</v>
      </c>
      <c r="S28" s="10">
        <f>K28*L28*M28*P28</f>
        <v>0</v>
      </c>
    </row>
    <row r="29" spans="1:19" s="8" customFormat="1" x14ac:dyDescent="0.35">
      <c r="A29" s="8" t="s">
        <v>108</v>
      </c>
      <c r="B29" s="21" t="s">
        <v>234</v>
      </c>
      <c r="C29" s="21" t="s">
        <v>357</v>
      </c>
      <c r="D29" s="24" t="s">
        <v>250</v>
      </c>
      <c r="E29" s="24"/>
      <c r="F29" s="9">
        <v>44847</v>
      </c>
      <c r="G29" s="10">
        <v>125000</v>
      </c>
      <c r="H29" s="10">
        <v>125000</v>
      </c>
      <c r="I29" s="10">
        <v>0</v>
      </c>
      <c r="J29" s="10">
        <f>G29-I29</f>
        <v>125000</v>
      </c>
      <c r="K29" s="10">
        <f>H29-I29</f>
        <v>125000</v>
      </c>
      <c r="L29" s="11">
        <v>1</v>
      </c>
      <c r="M29" s="12">
        <v>0.1</v>
      </c>
      <c r="N29" s="13">
        <f>J29*M29</f>
        <v>12500</v>
      </c>
      <c r="O29" s="13">
        <f>L29*G29*M29</f>
        <v>12500</v>
      </c>
      <c r="P29" s="12">
        <v>0.15</v>
      </c>
      <c r="Q29" s="10">
        <f>I29*L29*M29*P29</f>
        <v>0</v>
      </c>
      <c r="R29" s="10">
        <f>J29*L29*M29*P29</f>
        <v>1875</v>
      </c>
      <c r="S29" s="10">
        <f>K29*L29*M29*P29</f>
        <v>1875</v>
      </c>
    </row>
    <row r="30" spans="1:19" s="8" customFormat="1" x14ac:dyDescent="0.35">
      <c r="A30" s="8" t="s">
        <v>109</v>
      </c>
      <c r="B30" s="21" t="s">
        <v>238</v>
      </c>
      <c r="C30" s="21" t="s">
        <v>358</v>
      </c>
      <c r="D30" s="24">
        <f t="shared" si="0"/>
        <v>0</v>
      </c>
      <c r="E30" s="24"/>
      <c r="F30" s="9">
        <v>44866</v>
      </c>
      <c r="G30" s="10">
        <v>100000</v>
      </c>
      <c r="H30" s="10">
        <v>100000</v>
      </c>
      <c r="I30" s="10">
        <v>50000</v>
      </c>
      <c r="J30" s="10">
        <f t="shared" si="1"/>
        <v>50000</v>
      </c>
      <c r="K30" s="10">
        <f t="shared" si="2"/>
        <v>50000</v>
      </c>
      <c r="L30" s="11">
        <v>0.75</v>
      </c>
      <c r="M30" s="12">
        <v>0.1</v>
      </c>
      <c r="N30" s="13">
        <f t="shared" si="3"/>
        <v>5000</v>
      </c>
      <c r="O30" s="13">
        <f t="shared" si="4"/>
        <v>7500</v>
      </c>
      <c r="P30" s="12">
        <v>0.15</v>
      </c>
      <c r="Q30" s="10">
        <f t="shared" si="5"/>
        <v>562.5</v>
      </c>
      <c r="R30" s="10">
        <f t="shared" si="6"/>
        <v>562.5</v>
      </c>
      <c r="S30" s="10">
        <f t="shared" si="7"/>
        <v>562.5</v>
      </c>
    </row>
    <row r="31" spans="1:19" s="8" customFormat="1" x14ac:dyDescent="0.35">
      <c r="A31" s="8" t="s">
        <v>110</v>
      </c>
      <c r="B31" s="21" t="s">
        <v>238</v>
      </c>
      <c r="C31" s="21" t="s">
        <v>358</v>
      </c>
      <c r="D31" s="24">
        <f t="shared" si="0"/>
        <v>233.33333333333334</v>
      </c>
      <c r="E31" s="24"/>
      <c r="F31" s="9">
        <v>44894</v>
      </c>
      <c r="G31" s="10">
        <v>90000</v>
      </c>
      <c r="H31" s="10">
        <v>300000</v>
      </c>
      <c r="I31" s="10">
        <v>0</v>
      </c>
      <c r="J31" s="10">
        <f t="shared" si="1"/>
        <v>90000</v>
      </c>
      <c r="K31" s="10">
        <f t="shared" si="2"/>
        <v>300000</v>
      </c>
      <c r="L31" s="11">
        <v>1</v>
      </c>
      <c r="M31" s="12">
        <v>0.1</v>
      </c>
      <c r="N31" s="13">
        <f t="shared" si="3"/>
        <v>9000</v>
      </c>
      <c r="O31" s="13">
        <f t="shared" si="4"/>
        <v>9000</v>
      </c>
      <c r="P31" s="12">
        <v>0.15</v>
      </c>
      <c r="Q31" s="10">
        <f t="shared" si="5"/>
        <v>0</v>
      </c>
      <c r="R31" s="10">
        <f t="shared" si="6"/>
        <v>1350</v>
      </c>
      <c r="S31" s="10">
        <f t="shared" si="7"/>
        <v>4500</v>
      </c>
    </row>
    <row r="32" spans="1:19" s="8" customFormat="1" x14ac:dyDescent="0.35">
      <c r="A32" s="8" t="s">
        <v>111</v>
      </c>
      <c r="B32" s="21" t="s">
        <v>232</v>
      </c>
      <c r="C32" s="21" t="s">
        <v>357</v>
      </c>
      <c r="D32" s="25">
        <f t="shared" si="0"/>
        <v>0</v>
      </c>
      <c r="E32" s="25"/>
      <c r="F32" s="9">
        <v>44914</v>
      </c>
      <c r="G32" s="10">
        <v>60000</v>
      </c>
      <c r="H32" s="10">
        <v>60000</v>
      </c>
      <c r="I32" s="10">
        <v>50000</v>
      </c>
      <c r="J32" s="10">
        <f t="shared" si="1"/>
        <v>10000</v>
      </c>
      <c r="K32" s="10">
        <f t="shared" si="2"/>
        <v>10000</v>
      </c>
      <c r="L32" s="11">
        <v>1</v>
      </c>
      <c r="M32" s="12">
        <v>0.1</v>
      </c>
      <c r="N32" s="13">
        <f t="shared" si="3"/>
        <v>1000</v>
      </c>
      <c r="O32" s="13">
        <f t="shared" si="4"/>
        <v>6000</v>
      </c>
      <c r="P32" s="12">
        <v>0.15</v>
      </c>
      <c r="Q32" s="10">
        <f t="shared" si="5"/>
        <v>750</v>
      </c>
      <c r="R32" s="10">
        <f t="shared" si="6"/>
        <v>150</v>
      </c>
      <c r="S32" s="10">
        <f t="shared" si="7"/>
        <v>150</v>
      </c>
    </row>
    <row r="33" spans="2:20" x14ac:dyDescent="0.35">
      <c r="F33" s="4"/>
      <c r="G33" s="3">
        <f>SUM(G1:G32)</f>
        <v>8305000</v>
      </c>
      <c r="H33" s="3">
        <f>SUM(H1:H32)</f>
        <v>8550000</v>
      </c>
      <c r="I33" s="1">
        <f>SUM(I1:I32)</f>
        <v>5318000</v>
      </c>
      <c r="J33" s="1">
        <f>SUM(J1:J32)</f>
        <v>2987000</v>
      </c>
      <c r="K33" s="1">
        <f>SUM(K1:K32)</f>
        <v>3232000</v>
      </c>
      <c r="L33" s="1"/>
      <c r="N33" s="14">
        <f>SUM(N1:N32)</f>
        <v>296700</v>
      </c>
      <c r="O33" s="14">
        <f>SUM(O1:O32)</f>
        <v>789337.5</v>
      </c>
      <c r="Q33" s="1">
        <f>SUM(Q1:Q32)</f>
        <v>74458.125</v>
      </c>
      <c r="R33" s="1">
        <f>SUM(R1:R32)</f>
        <v>43942.5</v>
      </c>
      <c r="S33" s="1">
        <f>SUM(S1:S32)</f>
        <v>47805</v>
      </c>
      <c r="T33" s="8"/>
    </row>
    <row r="34" spans="2:20" x14ac:dyDescent="0.35">
      <c r="F34" s="4"/>
      <c r="G34" s="1">
        <f>AVERAGE(G2:G17,G19:G32)</f>
        <v>276833.33333333331</v>
      </c>
      <c r="H34" s="1">
        <f>AVERAGE(H2:H17,H19:H32)</f>
        <v>285000</v>
      </c>
      <c r="M34" s="2">
        <f>AVERAGE(M2:M32)</f>
        <v>9.7741935483871001E-2</v>
      </c>
      <c r="O34" s="15">
        <f>O33*0.25</f>
        <v>197334.375</v>
      </c>
      <c r="Q34" s="1"/>
      <c r="T34" s="8"/>
    </row>
    <row r="35" spans="2:20" x14ac:dyDescent="0.35">
      <c r="T35" s="8"/>
    </row>
    <row r="36" spans="2:20" x14ac:dyDescent="0.35">
      <c r="B36" s="21" t="s">
        <v>257</v>
      </c>
      <c r="C36" s="21"/>
      <c r="D36" s="24"/>
      <c r="E36" s="83"/>
      <c r="F36" s="4"/>
      <c r="J36" s="1"/>
      <c r="K36" s="1"/>
      <c r="M36"/>
      <c r="N36"/>
      <c r="O36"/>
    </row>
    <row r="37" spans="2:20" x14ac:dyDescent="0.35">
      <c r="B37" s="21" t="s">
        <v>262</v>
      </c>
      <c r="C37" s="21"/>
      <c r="D37" s="24"/>
      <c r="E37" s="83"/>
      <c r="F37" s="4"/>
      <c r="J37" s="1"/>
      <c r="K37" s="1"/>
      <c r="M37"/>
      <c r="N37"/>
      <c r="O37"/>
    </row>
    <row r="38" spans="2:20" x14ac:dyDescent="0.35">
      <c r="B38" s="21" t="s">
        <v>258</v>
      </c>
      <c r="C38" s="21"/>
      <c r="D38" s="24"/>
      <c r="E38" s="83"/>
    </row>
    <row r="39" spans="2:20" x14ac:dyDescent="0.35">
      <c r="B39" s="21" t="s">
        <v>259</v>
      </c>
      <c r="C39" s="21"/>
      <c r="D39" s="24"/>
      <c r="E39" s="83"/>
    </row>
    <row r="40" spans="2:20" x14ac:dyDescent="0.35">
      <c r="B40" s="21" t="s">
        <v>260</v>
      </c>
      <c r="C40" s="21"/>
      <c r="D40" s="24"/>
      <c r="E40" s="83"/>
    </row>
    <row r="41" spans="2:20" x14ac:dyDescent="0.35">
      <c r="B41" s="21" t="s">
        <v>261</v>
      </c>
      <c r="C41" s="21"/>
      <c r="D41" s="24"/>
      <c r="E41" s="83"/>
    </row>
    <row r="42" spans="2:20" x14ac:dyDescent="0.35">
      <c r="B42" s="21" t="s">
        <v>264</v>
      </c>
      <c r="C42" s="21"/>
      <c r="D42" s="24"/>
      <c r="E42" s="83"/>
    </row>
    <row r="43" spans="2:20" x14ac:dyDescent="0.35">
      <c r="B43" s="21" t="s">
        <v>263</v>
      </c>
      <c r="C43" s="21"/>
      <c r="D43" s="24"/>
      <c r="E43" s="83"/>
    </row>
    <row r="44" spans="2:20" x14ac:dyDescent="0.35">
      <c r="B44" s="21" t="s">
        <v>265</v>
      </c>
      <c r="C44" s="21"/>
      <c r="D44" s="24"/>
      <c r="E44" s="83"/>
    </row>
    <row r="45" spans="2:20" x14ac:dyDescent="0.35">
      <c r="B45" s="21"/>
      <c r="C45" s="21"/>
      <c r="D45" s="24"/>
      <c r="E45" s="83"/>
    </row>
    <row r="46" spans="2:20" x14ac:dyDescent="0.35">
      <c r="B46" s="21"/>
      <c r="C46" s="21"/>
      <c r="D46" s="24"/>
      <c r="E46" s="8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3D2B-732D-4C46-97F0-51FE16BA60E5}">
  <dimension ref="A1:T53"/>
  <sheetViews>
    <sheetView zoomScale="90" workbookViewId="0">
      <selection activeCell="D1" sqref="D1:E1"/>
    </sheetView>
  </sheetViews>
  <sheetFormatPr defaultRowHeight="14.5" x14ac:dyDescent="0.35"/>
  <cols>
    <col min="1" max="2" width="25.54296875" customWidth="1"/>
    <col min="3" max="3" width="6.7265625" customWidth="1"/>
    <col min="4" max="5" width="25.54296875" customWidth="1"/>
    <col min="6" max="6" width="15.81640625" customWidth="1"/>
    <col min="7" max="7" width="16.453125" style="1" customWidth="1"/>
    <col min="8" max="8" width="17.54296875" style="1" customWidth="1"/>
    <col min="9" max="9" width="17.81640625" style="1" customWidth="1"/>
    <col min="10" max="11" width="17.26953125" customWidth="1"/>
    <col min="12" max="12" width="9.81640625" customWidth="1"/>
    <col min="13" max="13" width="7.1796875" style="2" customWidth="1"/>
    <col min="14" max="15" width="13.81640625" style="2" bestFit="1" customWidth="1"/>
    <col min="16" max="16" width="9.453125" customWidth="1"/>
    <col min="17" max="17" width="12.54296875" customWidth="1"/>
    <col min="18" max="18" width="12.81640625" customWidth="1"/>
    <col min="19" max="19" width="14.1796875" customWidth="1"/>
  </cols>
  <sheetData>
    <row r="1" spans="1:19" s="8" customFormat="1" x14ac:dyDescent="0.35">
      <c r="A1" s="5" t="s">
        <v>15</v>
      </c>
      <c r="B1" s="5" t="s">
        <v>231</v>
      </c>
      <c r="C1" s="5" t="s">
        <v>356</v>
      </c>
      <c r="D1" s="22" t="s">
        <v>365</v>
      </c>
      <c r="E1" s="22" t="s">
        <v>366</v>
      </c>
      <c r="F1" s="5" t="s">
        <v>20</v>
      </c>
      <c r="G1" s="6" t="s">
        <v>80</v>
      </c>
      <c r="H1" s="6" t="s">
        <v>33</v>
      </c>
      <c r="I1" s="6" t="s">
        <v>47</v>
      </c>
      <c r="J1" s="5" t="s">
        <v>37</v>
      </c>
      <c r="K1" s="5" t="s">
        <v>38</v>
      </c>
      <c r="L1" s="5" t="s">
        <v>21</v>
      </c>
      <c r="M1" s="7" t="s">
        <v>14</v>
      </c>
      <c r="N1" s="7" t="s">
        <v>45</v>
      </c>
      <c r="O1" s="7" t="s">
        <v>46</v>
      </c>
      <c r="P1" s="5" t="s">
        <v>19</v>
      </c>
      <c r="Q1" s="5" t="s">
        <v>22</v>
      </c>
      <c r="R1" s="5" t="s">
        <v>35</v>
      </c>
      <c r="S1" s="5" t="s">
        <v>36</v>
      </c>
    </row>
    <row r="2" spans="1:19" s="8" customFormat="1" x14ac:dyDescent="0.35">
      <c r="A2" s="8" t="s">
        <v>112</v>
      </c>
      <c r="B2" s="21"/>
      <c r="C2" s="21"/>
      <c r="D2" s="24"/>
      <c r="E2" s="24"/>
      <c r="F2" s="9">
        <v>44938</v>
      </c>
      <c r="G2" s="10">
        <v>200000</v>
      </c>
      <c r="H2" s="10">
        <v>200000</v>
      </c>
      <c r="I2" s="10">
        <v>0</v>
      </c>
      <c r="J2" s="10">
        <f>G2-I2</f>
        <v>200000</v>
      </c>
      <c r="K2" s="10">
        <f>H2-I2</f>
        <v>200000</v>
      </c>
      <c r="L2" s="11">
        <v>1</v>
      </c>
      <c r="M2" s="12">
        <v>0.1</v>
      </c>
      <c r="N2" s="13">
        <f>J2*M2</f>
        <v>20000</v>
      </c>
      <c r="O2" s="13">
        <f>L2*G2*M2</f>
        <v>20000</v>
      </c>
      <c r="P2" s="12">
        <v>0.15</v>
      </c>
      <c r="Q2" s="10">
        <f>I2*L2*M2*P2</f>
        <v>0</v>
      </c>
      <c r="R2" s="10">
        <f>J2*L2*M2*P2</f>
        <v>3000</v>
      </c>
      <c r="S2" s="10">
        <f>K2*L2*M2*P2</f>
        <v>3000</v>
      </c>
    </row>
    <row r="3" spans="1:19" s="8" customFormat="1" x14ac:dyDescent="0.35">
      <c r="A3" s="8" t="s">
        <v>113</v>
      </c>
      <c r="B3" s="21" t="s">
        <v>240</v>
      </c>
      <c r="C3" s="21" t="s">
        <v>358</v>
      </c>
      <c r="D3" s="24">
        <f t="shared" ref="D3:D52" si="0">(H3-G3)/G3*100</f>
        <v>0</v>
      </c>
      <c r="E3" s="24"/>
      <c r="F3" s="9">
        <v>44939</v>
      </c>
      <c r="G3" s="10">
        <v>240000</v>
      </c>
      <c r="H3" s="10">
        <v>240000</v>
      </c>
      <c r="I3" s="10">
        <v>0</v>
      </c>
      <c r="J3" s="10">
        <f t="shared" ref="J3:J39" si="1">G3-I3</f>
        <v>240000</v>
      </c>
      <c r="K3" s="10">
        <f t="shared" ref="K3:K39" si="2">H3-I3</f>
        <v>240000</v>
      </c>
      <c r="L3" s="11">
        <v>0.75</v>
      </c>
      <c r="M3" s="12">
        <v>0.1</v>
      </c>
      <c r="N3" s="13">
        <f t="shared" ref="N3:N39" si="3">J3*M3</f>
        <v>24000</v>
      </c>
      <c r="O3" s="13">
        <f t="shared" ref="O3:O39" si="4">L3*G3*M3</f>
        <v>18000</v>
      </c>
      <c r="P3" s="12">
        <v>0.15</v>
      </c>
      <c r="Q3" s="10">
        <f t="shared" ref="Q3:Q39" si="5">I3*L3*M3*P3</f>
        <v>0</v>
      </c>
      <c r="R3" s="10">
        <f t="shared" ref="R3:R39" si="6">J3*L3*M3*P3</f>
        <v>2700</v>
      </c>
      <c r="S3" s="10">
        <f t="shared" ref="S3:S39" si="7">K3*L3*M3*P3</f>
        <v>2700</v>
      </c>
    </row>
    <row r="4" spans="1:19" s="8" customFormat="1" x14ac:dyDescent="0.35">
      <c r="A4" s="8" t="s">
        <v>114</v>
      </c>
      <c r="B4" s="21" t="s">
        <v>236</v>
      </c>
      <c r="C4" s="21" t="s">
        <v>357</v>
      </c>
      <c r="D4" s="25">
        <f>(H4-G4)/G4*100</f>
        <v>0</v>
      </c>
      <c r="E4" s="25"/>
      <c r="F4" s="9">
        <v>44945</v>
      </c>
      <c r="G4" s="10">
        <v>700000</v>
      </c>
      <c r="H4" s="10">
        <v>700000</v>
      </c>
      <c r="I4" s="10">
        <v>0</v>
      </c>
      <c r="J4" s="10">
        <f t="shared" si="1"/>
        <v>700000</v>
      </c>
      <c r="K4" s="10">
        <f t="shared" si="2"/>
        <v>700000</v>
      </c>
      <c r="L4" s="11">
        <v>1</v>
      </c>
      <c r="M4" s="12">
        <v>0.1</v>
      </c>
      <c r="N4" s="13">
        <f t="shared" si="3"/>
        <v>70000</v>
      </c>
      <c r="O4" s="13">
        <f t="shared" si="4"/>
        <v>70000</v>
      </c>
      <c r="P4" s="12">
        <v>0.15</v>
      </c>
      <c r="Q4" s="10">
        <f t="shared" si="5"/>
        <v>0</v>
      </c>
      <c r="R4" s="10">
        <f t="shared" si="6"/>
        <v>10500</v>
      </c>
      <c r="S4" s="10">
        <f t="shared" si="7"/>
        <v>10500</v>
      </c>
    </row>
    <row r="5" spans="1:19" s="8" customFormat="1" x14ac:dyDescent="0.35">
      <c r="A5" s="8" t="s">
        <v>115</v>
      </c>
      <c r="B5" s="21" t="s">
        <v>232</v>
      </c>
      <c r="C5" s="21" t="s">
        <v>357</v>
      </c>
      <c r="D5" s="24">
        <f t="shared" si="0"/>
        <v>0</v>
      </c>
      <c r="E5" s="24"/>
      <c r="F5" s="9">
        <v>44950</v>
      </c>
      <c r="G5" s="10">
        <v>120000</v>
      </c>
      <c r="H5" s="10">
        <v>120000</v>
      </c>
      <c r="I5" s="10">
        <v>0</v>
      </c>
      <c r="J5" s="10">
        <f t="shared" si="1"/>
        <v>120000</v>
      </c>
      <c r="K5" s="10">
        <f t="shared" si="2"/>
        <v>120000</v>
      </c>
      <c r="L5" s="11">
        <v>1</v>
      </c>
      <c r="M5" s="12">
        <v>0.1</v>
      </c>
      <c r="N5" s="13">
        <f t="shared" si="3"/>
        <v>12000</v>
      </c>
      <c r="O5" s="13">
        <f t="shared" si="4"/>
        <v>12000</v>
      </c>
      <c r="P5" s="12">
        <v>0.15</v>
      </c>
      <c r="Q5" s="10">
        <f t="shared" si="5"/>
        <v>0</v>
      </c>
      <c r="R5" s="10">
        <f t="shared" si="6"/>
        <v>1800</v>
      </c>
      <c r="S5" s="10">
        <f t="shared" si="7"/>
        <v>1800</v>
      </c>
    </row>
    <row r="6" spans="1:19" s="8" customFormat="1" x14ac:dyDescent="0.35">
      <c r="A6" s="8" t="s">
        <v>116</v>
      </c>
      <c r="B6" s="21" t="s">
        <v>246</v>
      </c>
      <c r="C6" s="21" t="s">
        <v>358</v>
      </c>
      <c r="D6" s="26" t="s">
        <v>245</v>
      </c>
      <c r="E6" s="26"/>
      <c r="F6" s="9">
        <v>44946</v>
      </c>
      <c r="G6" s="10">
        <v>120000</v>
      </c>
      <c r="H6" s="10">
        <v>120000</v>
      </c>
      <c r="I6" s="10">
        <v>0</v>
      </c>
      <c r="J6" s="10">
        <f t="shared" si="1"/>
        <v>120000</v>
      </c>
      <c r="K6" s="10">
        <f t="shared" si="2"/>
        <v>120000</v>
      </c>
      <c r="L6" s="11">
        <v>1</v>
      </c>
      <c r="M6" s="12">
        <v>0.1</v>
      </c>
      <c r="N6" s="13">
        <f t="shared" si="3"/>
        <v>12000</v>
      </c>
      <c r="O6" s="13">
        <f t="shared" si="4"/>
        <v>12000</v>
      </c>
      <c r="P6" s="12">
        <v>0.15</v>
      </c>
      <c r="Q6" s="10">
        <f t="shared" si="5"/>
        <v>0</v>
      </c>
      <c r="R6" s="10">
        <f t="shared" si="6"/>
        <v>1800</v>
      </c>
      <c r="S6" s="10">
        <f t="shared" si="7"/>
        <v>1800</v>
      </c>
    </row>
    <row r="7" spans="1:19" s="8" customFormat="1" x14ac:dyDescent="0.35">
      <c r="A7" s="8" t="s">
        <v>118</v>
      </c>
      <c r="B7" s="21" t="s">
        <v>234</v>
      </c>
      <c r="C7" s="21" t="s">
        <v>357</v>
      </c>
      <c r="D7" s="24" t="e">
        <f t="shared" si="0"/>
        <v>#DIV/0!</v>
      </c>
      <c r="E7" s="24"/>
      <c r="F7" s="9">
        <v>44966</v>
      </c>
      <c r="G7" s="10">
        <v>0</v>
      </c>
      <c r="H7" s="10">
        <v>0</v>
      </c>
      <c r="I7" s="10">
        <v>0</v>
      </c>
      <c r="J7" s="10">
        <f t="shared" si="1"/>
        <v>0</v>
      </c>
      <c r="K7" s="10">
        <f t="shared" si="2"/>
        <v>0</v>
      </c>
      <c r="L7" s="11">
        <v>1</v>
      </c>
      <c r="M7" s="12">
        <v>0.1</v>
      </c>
      <c r="N7" s="13">
        <f t="shared" si="3"/>
        <v>0</v>
      </c>
      <c r="O7" s="13">
        <f t="shared" si="4"/>
        <v>0</v>
      </c>
      <c r="P7" s="12">
        <v>0.15</v>
      </c>
      <c r="Q7" s="10">
        <f t="shared" si="5"/>
        <v>0</v>
      </c>
      <c r="R7" s="10">
        <f t="shared" si="6"/>
        <v>0</v>
      </c>
      <c r="S7" s="10">
        <f t="shared" si="7"/>
        <v>0</v>
      </c>
    </row>
    <row r="8" spans="1:19" s="8" customFormat="1" x14ac:dyDescent="0.35">
      <c r="A8" s="8" t="s">
        <v>119</v>
      </c>
      <c r="B8" s="21" t="s">
        <v>241</v>
      </c>
      <c r="C8" s="21" t="s">
        <v>358</v>
      </c>
      <c r="D8" s="24">
        <f t="shared" si="0"/>
        <v>22.222222222222221</v>
      </c>
      <c r="E8" s="24"/>
      <c r="F8" s="9">
        <v>44965</v>
      </c>
      <c r="G8" s="10">
        <v>450000</v>
      </c>
      <c r="H8" s="10">
        <v>550000</v>
      </c>
      <c r="I8" s="10">
        <v>0</v>
      </c>
      <c r="J8" s="10">
        <f t="shared" si="1"/>
        <v>450000</v>
      </c>
      <c r="K8" s="10">
        <f t="shared" si="2"/>
        <v>550000</v>
      </c>
      <c r="L8" s="11">
        <v>1</v>
      </c>
      <c r="M8" s="12">
        <v>7.0000000000000007E-2</v>
      </c>
      <c r="N8" s="13">
        <f t="shared" si="3"/>
        <v>31500.000000000004</v>
      </c>
      <c r="O8" s="13">
        <f t="shared" si="4"/>
        <v>31500.000000000004</v>
      </c>
      <c r="P8" s="12">
        <v>0.15</v>
      </c>
      <c r="Q8" s="10">
        <f t="shared" si="5"/>
        <v>0</v>
      </c>
      <c r="R8" s="10">
        <f t="shared" si="6"/>
        <v>4725</v>
      </c>
      <c r="S8" s="10">
        <f t="shared" si="7"/>
        <v>5775.0000000000009</v>
      </c>
    </row>
    <row r="9" spans="1:19" s="8" customFormat="1" x14ac:dyDescent="0.35">
      <c r="A9" s="8" t="s">
        <v>120</v>
      </c>
      <c r="B9" s="21" t="s">
        <v>236</v>
      </c>
      <c r="C9" s="21" t="s">
        <v>357</v>
      </c>
      <c r="D9" s="24">
        <f t="shared" si="0"/>
        <v>40</v>
      </c>
      <c r="E9" s="24"/>
      <c r="F9" s="9">
        <v>44971</v>
      </c>
      <c r="G9" s="10">
        <v>300000</v>
      </c>
      <c r="H9" s="10">
        <v>420000</v>
      </c>
      <c r="I9" s="10">
        <v>0</v>
      </c>
      <c r="J9" s="10">
        <f t="shared" si="1"/>
        <v>300000</v>
      </c>
      <c r="K9" s="10">
        <f t="shared" si="2"/>
        <v>420000</v>
      </c>
      <c r="L9" s="11">
        <v>1</v>
      </c>
      <c r="M9" s="12">
        <v>0.1</v>
      </c>
      <c r="N9" s="13">
        <f t="shared" si="3"/>
        <v>30000</v>
      </c>
      <c r="O9" s="13">
        <f t="shared" si="4"/>
        <v>30000</v>
      </c>
      <c r="P9" s="12">
        <v>0.15</v>
      </c>
      <c r="Q9" s="10">
        <f t="shared" si="5"/>
        <v>0</v>
      </c>
      <c r="R9" s="10">
        <f t="shared" si="6"/>
        <v>4500</v>
      </c>
      <c r="S9" s="10">
        <f t="shared" si="7"/>
        <v>6300</v>
      </c>
    </row>
    <row r="10" spans="1:19" s="8" customFormat="1" x14ac:dyDescent="0.35">
      <c r="A10" s="8" t="s">
        <v>121</v>
      </c>
      <c r="B10" s="21" t="s">
        <v>232</v>
      </c>
      <c r="C10" s="21" t="s">
        <v>357</v>
      </c>
      <c r="D10" s="25">
        <f t="shared" si="0"/>
        <v>33.333333333333329</v>
      </c>
      <c r="E10" s="25"/>
      <c r="F10" s="9">
        <v>44985</v>
      </c>
      <c r="G10" s="10">
        <v>150000</v>
      </c>
      <c r="H10" s="10">
        <v>200000</v>
      </c>
      <c r="I10" s="10">
        <v>0</v>
      </c>
      <c r="J10" s="10">
        <f t="shared" si="1"/>
        <v>150000</v>
      </c>
      <c r="K10" s="10">
        <f t="shared" si="2"/>
        <v>200000</v>
      </c>
      <c r="L10" s="11">
        <v>1</v>
      </c>
      <c r="M10" s="12">
        <v>0.1</v>
      </c>
      <c r="N10" s="13">
        <f t="shared" si="3"/>
        <v>15000</v>
      </c>
      <c r="O10" s="13">
        <f t="shared" si="4"/>
        <v>15000</v>
      </c>
      <c r="P10" s="12">
        <v>0.15</v>
      </c>
      <c r="Q10" s="10">
        <f t="shared" si="5"/>
        <v>0</v>
      </c>
      <c r="R10" s="10">
        <f t="shared" si="6"/>
        <v>2250</v>
      </c>
      <c r="S10" s="10">
        <f t="shared" si="7"/>
        <v>3000</v>
      </c>
    </row>
    <row r="11" spans="1:19" s="8" customFormat="1" x14ac:dyDescent="0.35">
      <c r="A11" s="8" t="s">
        <v>123</v>
      </c>
      <c r="B11" s="21" t="s">
        <v>232</v>
      </c>
      <c r="C11" s="21" t="s">
        <v>357</v>
      </c>
      <c r="D11" s="27">
        <f t="shared" si="0"/>
        <v>0</v>
      </c>
      <c r="E11" s="27"/>
      <c r="F11" s="9">
        <v>45011</v>
      </c>
      <c r="G11" s="10">
        <v>250000</v>
      </c>
      <c r="H11" s="10">
        <v>250000</v>
      </c>
      <c r="I11" s="10">
        <v>0</v>
      </c>
      <c r="J11" s="10">
        <f>G11-I11</f>
        <v>250000</v>
      </c>
      <c r="K11" s="10">
        <f>H11-I11</f>
        <v>250000</v>
      </c>
      <c r="L11" s="11">
        <v>1</v>
      </c>
      <c r="M11" s="12">
        <v>0.1</v>
      </c>
      <c r="N11" s="13">
        <f>J11*M11</f>
        <v>25000</v>
      </c>
      <c r="O11" s="13">
        <f>L11*G11*M11</f>
        <v>25000</v>
      </c>
      <c r="P11" s="12">
        <v>0.15</v>
      </c>
      <c r="Q11" s="10">
        <f>I11*L11*M11*P11</f>
        <v>0</v>
      </c>
      <c r="R11" s="10">
        <f>J11*L11*M11*P11</f>
        <v>3750</v>
      </c>
      <c r="S11" s="10">
        <f>K11*L11*M11*P11</f>
        <v>3750</v>
      </c>
    </row>
    <row r="12" spans="1:19" s="8" customFormat="1" x14ac:dyDescent="0.35">
      <c r="A12" s="18" t="s">
        <v>122</v>
      </c>
      <c r="B12" s="21" t="s">
        <v>246</v>
      </c>
      <c r="C12" s="21" t="s">
        <v>358</v>
      </c>
      <c r="D12" s="26" t="s">
        <v>245</v>
      </c>
      <c r="E12" s="26"/>
      <c r="F12" s="9">
        <v>45013</v>
      </c>
      <c r="G12" s="10">
        <v>50000</v>
      </c>
      <c r="H12" s="10">
        <v>50000</v>
      </c>
      <c r="I12" s="10">
        <v>0</v>
      </c>
      <c r="J12" s="10">
        <f t="shared" si="1"/>
        <v>50000</v>
      </c>
      <c r="K12" s="10">
        <f t="shared" si="2"/>
        <v>50000</v>
      </c>
      <c r="L12" s="11">
        <v>1</v>
      </c>
      <c r="M12" s="12">
        <v>0.1</v>
      </c>
      <c r="N12" s="13">
        <f t="shared" si="3"/>
        <v>5000</v>
      </c>
      <c r="O12" s="13">
        <f t="shared" si="4"/>
        <v>5000</v>
      </c>
      <c r="P12" s="12">
        <v>0.15</v>
      </c>
      <c r="Q12" s="10">
        <f t="shared" si="5"/>
        <v>0</v>
      </c>
      <c r="R12" s="10">
        <f t="shared" si="6"/>
        <v>750</v>
      </c>
      <c r="S12" s="10">
        <f t="shared" si="7"/>
        <v>750</v>
      </c>
    </row>
    <row r="13" spans="1:19" s="8" customFormat="1" x14ac:dyDescent="0.35">
      <c r="A13" s="8" t="s">
        <v>124</v>
      </c>
      <c r="B13" s="21" t="s">
        <v>232</v>
      </c>
      <c r="C13" s="21" t="s">
        <v>357</v>
      </c>
      <c r="D13" s="25">
        <f t="shared" si="0"/>
        <v>0</v>
      </c>
      <c r="E13" s="25"/>
      <c r="F13" s="9">
        <v>45019</v>
      </c>
      <c r="G13" s="10">
        <v>250000</v>
      </c>
      <c r="H13" s="10">
        <v>250000</v>
      </c>
      <c r="I13" s="10">
        <v>0</v>
      </c>
      <c r="J13" s="10">
        <f t="shared" si="1"/>
        <v>250000</v>
      </c>
      <c r="K13" s="10">
        <f t="shared" si="2"/>
        <v>250000</v>
      </c>
      <c r="L13" s="11">
        <v>1</v>
      </c>
      <c r="M13" s="12">
        <v>0.1</v>
      </c>
      <c r="N13" s="13">
        <f t="shared" si="3"/>
        <v>25000</v>
      </c>
      <c r="O13" s="13">
        <f t="shared" si="4"/>
        <v>25000</v>
      </c>
      <c r="P13" s="12">
        <v>0.15</v>
      </c>
      <c r="Q13" s="10">
        <f t="shared" si="5"/>
        <v>0</v>
      </c>
      <c r="R13" s="10">
        <f t="shared" si="6"/>
        <v>3750</v>
      </c>
      <c r="S13" s="10">
        <f t="shared" si="7"/>
        <v>3750</v>
      </c>
    </row>
    <row r="14" spans="1:19" s="8" customFormat="1" x14ac:dyDescent="0.35">
      <c r="A14" s="8" t="s">
        <v>125</v>
      </c>
      <c r="B14" s="21" t="s">
        <v>232</v>
      </c>
      <c r="C14" s="21" t="s">
        <v>357</v>
      </c>
      <c r="D14" s="25">
        <f t="shared" si="0"/>
        <v>0</v>
      </c>
      <c r="E14" s="25"/>
      <c r="F14" s="9">
        <v>45028</v>
      </c>
      <c r="G14" s="10">
        <v>250000</v>
      </c>
      <c r="H14" s="10">
        <v>250000</v>
      </c>
      <c r="I14" s="10">
        <v>0</v>
      </c>
      <c r="J14" s="10">
        <f t="shared" si="1"/>
        <v>250000</v>
      </c>
      <c r="K14" s="10">
        <f t="shared" si="2"/>
        <v>250000</v>
      </c>
      <c r="L14" s="11">
        <v>1</v>
      </c>
      <c r="M14" s="12">
        <v>7.0000000000000007E-2</v>
      </c>
      <c r="N14" s="13">
        <f t="shared" si="3"/>
        <v>17500</v>
      </c>
      <c r="O14" s="13">
        <f t="shared" si="4"/>
        <v>17500</v>
      </c>
      <c r="P14" s="12">
        <v>0.15</v>
      </c>
      <c r="Q14" s="10">
        <f t="shared" si="5"/>
        <v>0</v>
      </c>
      <c r="R14" s="10">
        <f t="shared" si="6"/>
        <v>2625</v>
      </c>
      <c r="S14" s="10">
        <f t="shared" si="7"/>
        <v>2625</v>
      </c>
    </row>
    <row r="15" spans="1:19" s="8" customFormat="1" x14ac:dyDescent="0.35">
      <c r="A15" s="8" t="s">
        <v>126</v>
      </c>
      <c r="B15" s="21" t="s">
        <v>232</v>
      </c>
      <c r="C15" s="21" t="s">
        <v>357</v>
      </c>
      <c r="D15" s="25">
        <f t="shared" si="0"/>
        <v>20</v>
      </c>
      <c r="E15" s="25"/>
      <c r="F15" s="9">
        <v>45028</v>
      </c>
      <c r="G15" s="10">
        <v>75000</v>
      </c>
      <c r="H15" s="10">
        <v>90000</v>
      </c>
      <c r="I15" s="10">
        <v>0</v>
      </c>
      <c r="J15" s="10">
        <f t="shared" si="1"/>
        <v>75000</v>
      </c>
      <c r="K15" s="10">
        <f t="shared" si="2"/>
        <v>90000</v>
      </c>
      <c r="L15" s="11">
        <v>0.75</v>
      </c>
      <c r="M15" s="12">
        <v>0.1</v>
      </c>
      <c r="N15" s="13">
        <f t="shared" si="3"/>
        <v>7500</v>
      </c>
      <c r="O15" s="13">
        <f t="shared" si="4"/>
        <v>5625</v>
      </c>
      <c r="P15" s="12">
        <v>0.15</v>
      </c>
      <c r="Q15" s="10">
        <f t="shared" si="5"/>
        <v>0</v>
      </c>
      <c r="R15" s="10">
        <f t="shared" si="6"/>
        <v>843.75</v>
      </c>
      <c r="S15" s="10">
        <f t="shared" si="7"/>
        <v>1012.5</v>
      </c>
    </row>
    <row r="16" spans="1:19" s="8" customFormat="1" x14ac:dyDescent="0.35">
      <c r="A16" s="8" t="s">
        <v>127</v>
      </c>
      <c r="B16" s="21" t="s">
        <v>232</v>
      </c>
      <c r="C16" s="21" t="s">
        <v>357</v>
      </c>
      <c r="D16" s="25">
        <f t="shared" si="0"/>
        <v>0</v>
      </c>
      <c r="E16" s="25"/>
      <c r="F16" s="9">
        <v>45034</v>
      </c>
      <c r="G16" s="10">
        <v>75000</v>
      </c>
      <c r="H16" s="10">
        <v>75000</v>
      </c>
      <c r="I16" s="10">
        <v>0</v>
      </c>
      <c r="J16" s="10">
        <f t="shared" si="1"/>
        <v>75000</v>
      </c>
      <c r="K16" s="10">
        <f t="shared" si="2"/>
        <v>75000</v>
      </c>
      <c r="L16" s="11">
        <v>1</v>
      </c>
      <c r="M16" s="12">
        <v>0.1</v>
      </c>
      <c r="N16" s="13">
        <f t="shared" si="3"/>
        <v>7500</v>
      </c>
      <c r="O16" s="13">
        <f t="shared" si="4"/>
        <v>7500</v>
      </c>
      <c r="P16" s="12">
        <v>0.15</v>
      </c>
      <c r="Q16" s="10">
        <f t="shared" si="5"/>
        <v>0</v>
      </c>
      <c r="R16" s="10">
        <f t="shared" si="6"/>
        <v>1125</v>
      </c>
      <c r="S16" s="10">
        <f t="shared" si="7"/>
        <v>1125</v>
      </c>
    </row>
    <row r="17" spans="1:19" s="8" customFormat="1" x14ac:dyDescent="0.35">
      <c r="A17" s="8" t="s">
        <v>128</v>
      </c>
      <c r="B17" s="21" t="s">
        <v>236</v>
      </c>
      <c r="C17" s="21" t="s">
        <v>357</v>
      </c>
      <c r="D17" s="27">
        <f t="shared" si="0"/>
        <v>0</v>
      </c>
      <c r="E17" s="27"/>
      <c r="F17" s="9">
        <v>45062</v>
      </c>
      <c r="G17" s="10">
        <v>150000</v>
      </c>
      <c r="H17" s="10">
        <v>150000</v>
      </c>
      <c r="I17" s="10">
        <v>0</v>
      </c>
      <c r="J17" s="10">
        <f t="shared" si="1"/>
        <v>150000</v>
      </c>
      <c r="K17" s="10">
        <f t="shared" si="2"/>
        <v>150000</v>
      </c>
      <c r="L17" s="11">
        <v>0.75</v>
      </c>
      <c r="M17" s="12">
        <v>0.1</v>
      </c>
      <c r="N17" s="13">
        <f t="shared" si="3"/>
        <v>15000</v>
      </c>
      <c r="O17" s="13">
        <f t="shared" si="4"/>
        <v>11250</v>
      </c>
      <c r="P17" s="12">
        <v>0.15</v>
      </c>
      <c r="Q17" s="10">
        <f t="shared" si="5"/>
        <v>0</v>
      </c>
      <c r="R17" s="10">
        <f t="shared" si="6"/>
        <v>1687.5</v>
      </c>
      <c r="S17" s="10">
        <f t="shared" si="7"/>
        <v>1687.5</v>
      </c>
    </row>
    <row r="18" spans="1:19" s="8" customFormat="1" x14ac:dyDescent="0.35">
      <c r="A18" s="8" t="s">
        <v>129</v>
      </c>
      <c r="B18" s="21" t="s">
        <v>232</v>
      </c>
      <c r="C18" s="21" t="s">
        <v>357</v>
      </c>
      <c r="D18" s="25">
        <f>(H18-G18)/G18*100</f>
        <v>0</v>
      </c>
      <c r="E18" s="25"/>
      <c r="F18" s="9">
        <v>45070</v>
      </c>
      <c r="G18" s="10">
        <v>300000</v>
      </c>
      <c r="H18" s="10">
        <v>300000</v>
      </c>
      <c r="I18" s="10">
        <v>0</v>
      </c>
      <c r="J18" s="10">
        <f t="shared" si="1"/>
        <v>300000</v>
      </c>
      <c r="K18" s="10">
        <f t="shared" si="2"/>
        <v>300000</v>
      </c>
      <c r="L18" s="11">
        <v>1</v>
      </c>
      <c r="M18" s="12">
        <v>0.1</v>
      </c>
      <c r="N18" s="13">
        <f t="shared" si="3"/>
        <v>30000</v>
      </c>
      <c r="O18" s="13">
        <f t="shared" si="4"/>
        <v>30000</v>
      </c>
      <c r="P18" s="12">
        <v>0.15</v>
      </c>
      <c r="Q18" s="10">
        <f t="shared" si="5"/>
        <v>0</v>
      </c>
      <c r="R18" s="10">
        <f t="shared" si="6"/>
        <v>4500</v>
      </c>
      <c r="S18" s="10">
        <f t="shared" si="7"/>
        <v>4500</v>
      </c>
    </row>
    <row r="19" spans="1:19" s="8" customFormat="1" x14ac:dyDescent="0.35">
      <c r="A19" s="8" t="s">
        <v>130</v>
      </c>
      <c r="B19" s="21" t="s">
        <v>232</v>
      </c>
      <c r="C19" s="21" t="s">
        <v>357</v>
      </c>
      <c r="D19" s="25">
        <f>(H19-G19)/G19*100</f>
        <v>0</v>
      </c>
      <c r="E19" s="25"/>
      <c r="F19" s="9">
        <v>45068</v>
      </c>
      <c r="G19" s="10">
        <v>150000</v>
      </c>
      <c r="H19" s="10">
        <v>150000</v>
      </c>
      <c r="I19" s="10">
        <v>0</v>
      </c>
      <c r="J19" s="10">
        <f t="shared" si="1"/>
        <v>150000</v>
      </c>
      <c r="K19" s="10">
        <f t="shared" si="2"/>
        <v>150000</v>
      </c>
      <c r="L19" s="11">
        <v>1</v>
      </c>
      <c r="M19" s="12">
        <v>0.1</v>
      </c>
      <c r="N19" s="13">
        <f t="shared" si="3"/>
        <v>15000</v>
      </c>
      <c r="O19" s="13">
        <f t="shared" si="4"/>
        <v>15000</v>
      </c>
      <c r="P19" s="12">
        <v>0.15</v>
      </c>
      <c r="Q19" s="10">
        <f t="shared" si="5"/>
        <v>0</v>
      </c>
      <c r="R19" s="10">
        <f t="shared" si="6"/>
        <v>2250</v>
      </c>
      <c r="S19" s="10">
        <f t="shared" si="7"/>
        <v>2250</v>
      </c>
    </row>
    <row r="20" spans="1:19" s="8" customFormat="1" x14ac:dyDescent="0.35">
      <c r="A20" s="8" t="s">
        <v>131</v>
      </c>
      <c r="B20" s="21" t="s">
        <v>232</v>
      </c>
      <c r="C20" s="21" t="s">
        <v>357</v>
      </c>
      <c r="D20" s="26" t="s">
        <v>245</v>
      </c>
      <c r="E20" s="26"/>
      <c r="F20" s="9">
        <v>45090</v>
      </c>
      <c r="G20" s="10">
        <v>0</v>
      </c>
      <c r="H20" s="10">
        <v>0</v>
      </c>
      <c r="I20" s="10">
        <v>0</v>
      </c>
      <c r="J20" s="10">
        <f t="shared" ref="J20:J37" si="8">G20-I20</f>
        <v>0</v>
      </c>
      <c r="K20" s="10">
        <f t="shared" ref="K20:K37" si="9">H20-I20</f>
        <v>0</v>
      </c>
      <c r="L20" s="11">
        <v>0.75</v>
      </c>
      <c r="M20" s="12">
        <v>0.1</v>
      </c>
      <c r="N20" s="13">
        <f t="shared" ref="N20:N37" si="10">J20*M20</f>
        <v>0</v>
      </c>
      <c r="O20" s="13">
        <f t="shared" ref="O20:O37" si="11">L20*G20*M20</f>
        <v>0</v>
      </c>
      <c r="P20" s="12">
        <v>0.15</v>
      </c>
      <c r="Q20" s="10">
        <f t="shared" ref="Q20:Q37" si="12">I20*L20*M20*P20</f>
        <v>0</v>
      </c>
      <c r="R20" s="10">
        <f t="shared" ref="R20:R37" si="13">J20*L20*M20*P20</f>
        <v>0</v>
      </c>
      <c r="S20" s="10">
        <f t="shared" ref="S20:S37" si="14">K20*L20*M20*P20</f>
        <v>0</v>
      </c>
    </row>
    <row r="21" spans="1:19" s="8" customFormat="1" x14ac:dyDescent="0.35">
      <c r="A21" s="8" t="s">
        <v>132</v>
      </c>
      <c r="B21" s="21" t="s">
        <v>232</v>
      </c>
      <c r="C21" s="21" t="s">
        <v>357</v>
      </c>
      <c r="D21" s="24">
        <f t="shared" si="0"/>
        <v>0</v>
      </c>
      <c r="E21" s="24"/>
      <c r="F21" s="9"/>
      <c r="G21" s="10">
        <v>100000</v>
      </c>
      <c r="H21" s="10">
        <v>100000</v>
      </c>
      <c r="I21" s="10">
        <v>0</v>
      </c>
      <c r="J21" s="10">
        <f t="shared" si="8"/>
        <v>100000</v>
      </c>
      <c r="K21" s="10">
        <f t="shared" si="9"/>
        <v>100000</v>
      </c>
      <c r="L21" s="11">
        <v>1</v>
      </c>
      <c r="M21" s="12">
        <v>0.08</v>
      </c>
      <c r="N21" s="13">
        <f t="shared" si="10"/>
        <v>8000</v>
      </c>
      <c r="O21" s="13">
        <f t="shared" si="11"/>
        <v>8000</v>
      </c>
      <c r="P21" s="12">
        <v>0.15</v>
      </c>
      <c r="Q21" s="10">
        <f t="shared" si="12"/>
        <v>0</v>
      </c>
      <c r="R21" s="10">
        <f t="shared" si="13"/>
        <v>1200</v>
      </c>
      <c r="S21" s="10">
        <f t="shared" si="14"/>
        <v>1200</v>
      </c>
    </row>
    <row r="22" spans="1:19" s="8" customFormat="1" x14ac:dyDescent="0.35">
      <c r="A22" s="8" t="s">
        <v>133</v>
      </c>
      <c r="B22" s="21" t="s">
        <v>238</v>
      </c>
      <c r="C22" s="21" t="s">
        <v>358</v>
      </c>
      <c r="D22" s="26" t="s">
        <v>245</v>
      </c>
      <c r="E22" s="26"/>
      <c r="F22" s="9">
        <v>45102</v>
      </c>
      <c r="G22" s="10">
        <v>140000</v>
      </c>
      <c r="H22" s="10">
        <v>140000</v>
      </c>
      <c r="I22" s="10">
        <v>0</v>
      </c>
      <c r="J22" s="10">
        <f t="shared" si="8"/>
        <v>140000</v>
      </c>
      <c r="K22" s="10">
        <f t="shared" si="9"/>
        <v>140000</v>
      </c>
      <c r="L22" s="11">
        <v>1</v>
      </c>
      <c r="M22" s="12">
        <v>0.1</v>
      </c>
      <c r="N22" s="13">
        <f t="shared" si="10"/>
        <v>14000</v>
      </c>
      <c r="O22" s="13">
        <f t="shared" si="11"/>
        <v>14000</v>
      </c>
      <c r="P22" s="12">
        <v>0.15</v>
      </c>
      <c r="Q22" s="10">
        <f t="shared" si="12"/>
        <v>0</v>
      </c>
      <c r="R22" s="10">
        <f t="shared" si="13"/>
        <v>2100</v>
      </c>
      <c r="S22" s="10">
        <f t="shared" si="14"/>
        <v>2100</v>
      </c>
    </row>
    <row r="23" spans="1:19" s="8" customFormat="1" x14ac:dyDescent="0.35">
      <c r="A23" s="8" t="s">
        <v>134</v>
      </c>
      <c r="B23" s="21" t="s">
        <v>237</v>
      </c>
      <c r="C23" s="21" t="s">
        <v>358</v>
      </c>
      <c r="D23" s="26" t="s">
        <v>245</v>
      </c>
      <c r="E23" s="26"/>
      <c r="F23" s="9">
        <v>45111</v>
      </c>
      <c r="G23" s="10">
        <v>1700000</v>
      </c>
      <c r="H23" s="10">
        <v>1700000</v>
      </c>
      <c r="I23" s="10">
        <v>0</v>
      </c>
      <c r="J23" s="10">
        <f t="shared" si="8"/>
        <v>1700000</v>
      </c>
      <c r="K23" s="10">
        <f t="shared" si="9"/>
        <v>1700000</v>
      </c>
      <c r="L23" s="11">
        <v>1</v>
      </c>
      <c r="M23" s="12">
        <v>0.06</v>
      </c>
      <c r="N23" s="13">
        <f t="shared" si="10"/>
        <v>102000</v>
      </c>
      <c r="O23" s="13">
        <f t="shared" si="11"/>
        <v>102000</v>
      </c>
      <c r="P23" s="12">
        <v>0.15</v>
      </c>
      <c r="Q23" s="10">
        <f t="shared" si="12"/>
        <v>0</v>
      </c>
      <c r="R23" s="10">
        <f t="shared" si="13"/>
        <v>15300</v>
      </c>
      <c r="S23" s="10">
        <f t="shared" si="14"/>
        <v>15300</v>
      </c>
    </row>
    <row r="24" spans="1:19" s="8" customFormat="1" x14ac:dyDescent="0.35">
      <c r="A24" s="8" t="s">
        <v>135</v>
      </c>
      <c r="B24" s="21" t="s">
        <v>234</v>
      </c>
      <c r="C24" s="21" t="s">
        <v>357</v>
      </c>
      <c r="D24" s="27">
        <f t="shared" si="0"/>
        <v>0</v>
      </c>
      <c r="E24" s="27"/>
      <c r="F24" s="9">
        <v>45114</v>
      </c>
      <c r="G24" s="10">
        <v>700000</v>
      </c>
      <c r="H24" s="10">
        <v>700000</v>
      </c>
      <c r="I24" s="10">
        <v>0</v>
      </c>
      <c r="J24" s="10">
        <f t="shared" si="8"/>
        <v>700000</v>
      </c>
      <c r="K24" s="10">
        <f t="shared" si="9"/>
        <v>700000</v>
      </c>
      <c r="L24" s="11">
        <v>0.75</v>
      </c>
      <c r="M24" s="12">
        <v>0.1</v>
      </c>
      <c r="N24" s="13">
        <f t="shared" si="10"/>
        <v>70000</v>
      </c>
      <c r="O24" s="13">
        <f t="shared" si="11"/>
        <v>52500</v>
      </c>
      <c r="P24" s="12">
        <v>0.15</v>
      </c>
      <c r="Q24" s="10">
        <f t="shared" si="12"/>
        <v>0</v>
      </c>
      <c r="R24" s="10">
        <f t="shared" si="13"/>
        <v>7875</v>
      </c>
      <c r="S24" s="10">
        <f t="shared" si="14"/>
        <v>7875</v>
      </c>
    </row>
    <row r="25" spans="1:19" s="8" customFormat="1" x14ac:dyDescent="0.35">
      <c r="A25" s="8" t="s">
        <v>136</v>
      </c>
      <c r="B25" s="21" t="s">
        <v>240</v>
      </c>
      <c r="C25" s="21" t="s">
        <v>358</v>
      </c>
      <c r="D25" s="24">
        <v>0</v>
      </c>
      <c r="E25" s="24"/>
      <c r="F25" s="9">
        <v>45117</v>
      </c>
      <c r="G25" s="10">
        <v>2500000</v>
      </c>
      <c r="H25" s="10">
        <v>2500000</v>
      </c>
      <c r="I25" s="10">
        <v>0</v>
      </c>
      <c r="J25" s="10">
        <f t="shared" si="8"/>
        <v>2500000</v>
      </c>
      <c r="K25" s="10">
        <f t="shared" si="9"/>
        <v>2500000</v>
      </c>
      <c r="L25" s="11">
        <v>1</v>
      </c>
      <c r="M25" s="12">
        <v>0.05</v>
      </c>
      <c r="N25" s="13">
        <f t="shared" si="10"/>
        <v>125000</v>
      </c>
      <c r="O25" s="13">
        <f t="shared" si="11"/>
        <v>125000</v>
      </c>
      <c r="P25" s="12">
        <v>0.15</v>
      </c>
      <c r="Q25" s="10">
        <f t="shared" si="12"/>
        <v>0</v>
      </c>
      <c r="R25" s="10">
        <f t="shared" si="13"/>
        <v>18750</v>
      </c>
      <c r="S25" s="10">
        <f t="shared" si="14"/>
        <v>18750</v>
      </c>
    </row>
    <row r="26" spans="1:19" s="8" customFormat="1" x14ac:dyDescent="0.35">
      <c r="A26" s="8" t="s">
        <v>137</v>
      </c>
      <c r="B26" s="21" t="s">
        <v>232</v>
      </c>
      <c r="C26" s="21" t="s">
        <v>357</v>
      </c>
      <c r="D26" s="25">
        <f t="shared" si="0"/>
        <v>0</v>
      </c>
      <c r="E26" s="25"/>
      <c r="F26" s="9">
        <v>45150</v>
      </c>
      <c r="G26" s="10">
        <v>400000</v>
      </c>
      <c r="H26" s="10">
        <v>400000</v>
      </c>
      <c r="I26" s="10">
        <v>0</v>
      </c>
      <c r="J26" s="10">
        <f t="shared" si="8"/>
        <v>400000</v>
      </c>
      <c r="K26" s="10">
        <f t="shared" si="9"/>
        <v>400000</v>
      </c>
      <c r="L26" s="11">
        <v>1</v>
      </c>
      <c r="M26" s="12">
        <v>0.1</v>
      </c>
      <c r="N26" s="13">
        <f t="shared" si="10"/>
        <v>40000</v>
      </c>
      <c r="O26" s="13">
        <f t="shared" si="11"/>
        <v>40000</v>
      </c>
      <c r="P26" s="12">
        <v>0.15</v>
      </c>
      <c r="Q26" s="10">
        <f t="shared" si="12"/>
        <v>0</v>
      </c>
      <c r="R26" s="10">
        <f t="shared" si="13"/>
        <v>6000</v>
      </c>
      <c r="S26" s="10">
        <f t="shared" si="14"/>
        <v>6000</v>
      </c>
    </row>
    <row r="27" spans="1:19" s="8" customFormat="1" x14ac:dyDescent="0.35">
      <c r="A27" s="8" t="s">
        <v>140</v>
      </c>
      <c r="B27" s="21" t="s">
        <v>248</v>
      </c>
      <c r="C27" s="21" t="s">
        <v>358</v>
      </c>
      <c r="D27" s="26" t="s">
        <v>245</v>
      </c>
      <c r="E27" s="26"/>
      <c r="F27" s="9">
        <v>45157</v>
      </c>
      <c r="G27" s="10">
        <v>200000</v>
      </c>
      <c r="H27" s="10">
        <v>200000</v>
      </c>
      <c r="I27" s="10">
        <v>0</v>
      </c>
      <c r="J27" s="10">
        <f>G27-I27</f>
        <v>200000</v>
      </c>
      <c r="K27" s="10">
        <f>H27-I27</f>
        <v>200000</v>
      </c>
      <c r="L27" s="11">
        <v>1</v>
      </c>
      <c r="M27" s="12">
        <v>0.1</v>
      </c>
      <c r="N27" s="13">
        <f>J27*M27</f>
        <v>20000</v>
      </c>
      <c r="O27" s="13">
        <f>L27*G27*M27</f>
        <v>20000</v>
      </c>
      <c r="P27" s="12">
        <v>0.15</v>
      </c>
      <c r="Q27" s="10">
        <f>I27*L27*M27*P27</f>
        <v>0</v>
      </c>
      <c r="R27" s="10">
        <f>J27*L27*M27*P27</f>
        <v>3000</v>
      </c>
      <c r="S27" s="10">
        <f>K27*L27*M27*P27</f>
        <v>3000</v>
      </c>
    </row>
    <row r="28" spans="1:19" s="8" customFormat="1" x14ac:dyDescent="0.35">
      <c r="A28" s="8" t="s">
        <v>138</v>
      </c>
      <c r="B28" s="21" t="s">
        <v>234</v>
      </c>
      <c r="C28" s="21" t="s">
        <v>357</v>
      </c>
      <c r="D28" s="24">
        <f t="shared" si="0"/>
        <v>0</v>
      </c>
      <c r="E28" s="24"/>
      <c r="F28" s="9">
        <v>45175</v>
      </c>
      <c r="G28" s="10">
        <v>150000</v>
      </c>
      <c r="H28" s="10">
        <v>150000</v>
      </c>
      <c r="I28" s="10">
        <v>0</v>
      </c>
      <c r="J28" s="10">
        <f t="shared" si="8"/>
        <v>150000</v>
      </c>
      <c r="K28" s="10">
        <f t="shared" si="9"/>
        <v>150000</v>
      </c>
      <c r="L28" s="11">
        <v>1</v>
      </c>
      <c r="M28" s="12">
        <v>0.1</v>
      </c>
      <c r="N28" s="13">
        <f t="shared" si="10"/>
        <v>15000</v>
      </c>
      <c r="O28" s="13">
        <f t="shared" si="11"/>
        <v>15000</v>
      </c>
      <c r="P28" s="12">
        <v>0.15</v>
      </c>
      <c r="Q28" s="10">
        <f t="shared" si="12"/>
        <v>0</v>
      </c>
      <c r="R28" s="10">
        <f t="shared" si="13"/>
        <v>2250</v>
      </c>
      <c r="S28" s="10">
        <f t="shared" si="14"/>
        <v>2250</v>
      </c>
    </row>
    <row r="29" spans="1:19" s="8" customFormat="1" x14ac:dyDescent="0.35">
      <c r="A29" s="8" t="s">
        <v>139</v>
      </c>
      <c r="B29" s="21" t="s">
        <v>234</v>
      </c>
      <c r="C29" s="21" t="s">
        <v>357</v>
      </c>
      <c r="D29" s="24" t="s">
        <v>250</v>
      </c>
      <c r="E29" s="24"/>
      <c r="F29" s="9">
        <v>45180</v>
      </c>
      <c r="G29" s="10">
        <v>375000</v>
      </c>
      <c r="H29" s="10">
        <v>375000</v>
      </c>
      <c r="I29" s="10">
        <v>0</v>
      </c>
      <c r="J29" s="10">
        <f t="shared" si="8"/>
        <v>375000</v>
      </c>
      <c r="K29" s="10">
        <f t="shared" si="9"/>
        <v>375000</v>
      </c>
      <c r="L29" s="11">
        <v>1</v>
      </c>
      <c r="M29" s="12">
        <v>0.1</v>
      </c>
      <c r="N29" s="13">
        <f t="shared" si="10"/>
        <v>37500</v>
      </c>
      <c r="O29" s="13">
        <f t="shared" si="11"/>
        <v>37500</v>
      </c>
      <c r="P29" s="12">
        <v>0.15</v>
      </c>
      <c r="Q29" s="10">
        <f t="shared" si="12"/>
        <v>0</v>
      </c>
      <c r="R29" s="10">
        <f t="shared" si="13"/>
        <v>5625</v>
      </c>
      <c r="S29" s="10">
        <f t="shared" si="14"/>
        <v>5625</v>
      </c>
    </row>
    <row r="30" spans="1:19" s="8" customFormat="1" x14ac:dyDescent="0.35">
      <c r="A30" s="8" t="s">
        <v>141</v>
      </c>
      <c r="B30" s="21" t="s">
        <v>238</v>
      </c>
      <c r="C30" s="21" t="s">
        <v>358</v>
      </c>
      <c r="D30" s="24">
        <f t="shared" si="0"/>
        <v>0</v>
      </c>
      <c r="E30" s="24"/>
      <c r="F30" s="9">
        <v>45183</v>
      </c>
      <c r="G30" s="10">
        <v>50000</v>
      </c>
      <c r="H30" s="10">
        <v>50000</v>
      </c>
      <c r="I30" s="10">
        <v>0</v>
      </c>
      <c r="J30" s="10">
        <f t="shared" si="8"/>
        <v>50000</v>
      </c>
      <c r="K30" s="10">
        <f t="shared" si="9"/>
        <v>50000</v>
      </c>
      <c r="L30" s="11">
        <v>0.75</v>
      </c>
      <c r="M30" s="12">
        <v>0.1</v>
      </c>
      <c r="N30" s="13">
        <f t="shared" si="10"/>
        <v>5000</v>
      </c>
      <c r="O30" s="13">
        <f t="shared" si="11"/>
        <v>3750</v>
      </c>
      <c r="P30" s="12">
        <v>0.15</v>
      </c>
      <c r="Q30" s="10">
        <f t="shared" si="12"/>
        <v>0</v>
      </c>
      <c r="R30" s="10">
        <f t="shared" si="13"/>
        <v>562.5</v>
      </c>
      <c r="S30" s="10">
        <f t="shared" si="14"/>
        <v>562.5</v>
      </c>
    </row>
    <row r="31" spans="1:19" s="8" customFormat="1" x14ac:dyDescent="0.35">
      <c r="A31" s="8" t="s">
        <v>142</v>
      </c>
      <c r="B31" s="21" t="s">
        <v>238</v>
      </c>
      <c r="C31" s="21" t="s">
        <v>358</v>
      </c>
      <c r="D31" s="24">
        <f t="shared" si="0"/>
        <v>0</v>
      </c>
      <c r="E31" s="24"/>
      <c r="F31" s="9">
        <v>45200</v>
      </c>
      <c r="G31" s="10">
        <v>650000</v>
      </c>
      <c r="H31" s="10">
        <v>650000</v>
      </c>
      <c r="I31" s="10">
        <v>0</v>
      </c>
      <c r="J31" s="10">
        <f t="shared" si="8"/>
        <v>650000</v>
      </c>
      <c r="K31" s="10">
        <f t="shared" si="9"/>
        <v>650000</v>
      </c>
      <c r="L31" s="11">
        <v>1</v>
      </c>
      <c r="M31" s="12">
        <v>7.0000000000000007E-2</v>
      </c>
      <c r="N31" s="13">
        <f t="shared" si="10"/>
        <v>45500.000000000007</v>
      </c>
      <c r="O31" s="13">
        <f t="shared" si="11"/>
        <v>45500.000000000007</v>
      </c>
      <c r="P31" s="12">
        <v>0.15</v>
      </c>
      <c r="Q31" s="10">
        <f t="shared" si="12"/>
        <v>0</v>
      </c>
      <c r="R31" s="10">
        <f t="shared" si="13"/>
        <v>6825.0000000000009</v>
      </c>
      <c r="S31" s="10">
        <f t="shared" si="14"/>
        <v>6825.0000000000009</v>
      </c>
    </row>
    <row r="32" spans="1:19" s="8" customFormat="1" x14ac:dyDescent="0.35">
      <c r="A32" s="8" t="s">
        <v>145</v>
      </c>
      <c r="B32" s="21" t="s">
        <v>232</v>
      </c>
      <c r="C32" s="21" t="s">
        <v>357</v>
      </c>
      <c r="D32" s="25">
        <f t="shared" si="0"/>
        <v>0</v>
      </c>
      <c r="E32" s="25"/>
      <c r="F32" s="9">
        <v>45225</v>
      </c>
      <c r="G32" s="10">
        <v>40000</v>
      </c>
      <c r="H32" s="10">
        <v>40000</v>
      </c>
      <c r="I32" s="10">
        <v>0</v>
      </c>
      <c r="J32" s="10">
        <f t="shared" si="8"/>
        <v>40000</v>
      </c>
      <c r="K32" s="10">
        <f t="shared" si="9"/>
        <v>40000</v>
      </c>
      <c r="L32" s="11">
        <v>1</v>
      </c>
      <c r="M32" s="12">
        <v>0.1</v>
      </c>
      <c r="N32" s="13">
        <f t="shared" si="10"/>
        <v>4000</v>
      </c>
      <c r="O32" s="13">
        <f t="shared" si="11"/>
        <v>4000</v>
      </c>
      <c r="P32" s="12">
        <v>0.15</v>
      </c>
      <c r="Q32" s="10">
        <f t="shared" si="12"/>
        <v>0</v>
      </c>
      <c r="R32" s="10">
        <f t="shared" si="13"/>
        <v>600</v>
      </c>
      <c r="S32" s="10">
        <f t="shared" si="14"/>
        <v>600</v>
      </c>
    </row>
    <row r="33" spans="1:20" s="8" customFormat="1" x14ac:dyDescent="0.35">
      <c r="A33" s="8" t="s">
        <v>143</v>
      </c>
      <c r="B33" s="21" t="s">
        <v>234</v>
      </c>
      <c r="C33" s="21" t="s">
        <v>358</v>
      </c>
      <c r="D33" s="26" t="s">
        <v>245</v>
      </c>
      <c r="E33" s="26"/>
      <c r="F33" s="9">
        <v>45237</v>
      </c>
      <c r="G33" s="10">
        <v>160000</v>
      </c>
      <c r="H33" s="10">
        <v>160000</v>
      </c>
      <c r="I33" s="10">
        <v>0</v>
      </c>
      <c r="J33" s="10">
        <f t="shared" si="8"/>
        <v>160000</v>
      </c>
      <c r="K33" s="10">
        <f t="shared" si="9"/>
        <v>160000</v>
      </c>
      <c r="L33" s="11">
        <v>1</v>
      </c>
      <c r="M33" s="12">
        <v>0.1</v>
      </c>
      <c r="N33" s="13">
        <f t="shared" si="10"/>
        <v>16000</v>
      </c>
      <c r="O33" s="13">
        <f t="shared" si="11"/>
        <v>16000</v>
      </c>
      <c r="P33" s="12">
        <v>0.15</v>
      </c>
      <c r="Q33" s="10">
        <f t="shared" si="12"/>
        <v>0</v>
      </c>
      <c r="R33" s="10">
        <f t="shared" si="13"/>
        <v>2400</v>
      </c>
      <c r="S33" s="10">
        <f t="shared" si="14"/>
        <v>2400</v>
      </c>
    </row>
    <row r="34" spans="1:20" s="8" customFormat="1" x14ac:dyDescent="0.35">
      <c r="A34" s="8" t="s">
        <v>144</v>
      </c>
      <c r="B34" s="21" t="s">
        <v>238</v>
      </c>
      <c r="C34" s="21" t="s">
        <v>358</v>
      </c>
      <c r="D34" s="24">
        <f t="shared" si="0"/>
        <v>0</v>
      </c>
      <c r="E34" s="24"/>
      <c r="F34" s="9">
        <v>45237</v>
      </c>
      <c r="G34" s="10">
        <v>700000</v>
      </c>
      <c r="H34" s="10">
        <v>700000</v>
      </c>
      <c r="I34" s="10">
        <v>0</v>
      </c>
      <c r="J34" s="10">
        <f t="shared" si="8"/>
        <v>700000</v>
      </c>
      <c r="K34" s="10">
        <f t="shared" si="9"/>
        <v>700000</v>
      </c>
      <c r="L34" s="11">
        <v>1</v>
      </c>
      <c r="M34" s="12">
        <v>0.09</v>
      </c>
      <c r="N34" s="13">
        <f t="shared" si="10"/>
        <v>63000</v>
      </c>
      <c r="O34" s="13">
        <f t="shared" si="11"/>
        <v>63000</v>
      </c>
      <c r="P34" s="12">
        <v>0.15</v>
      </c>
      <c r="Q34" s="10">
        <f t="shared" si="12"/>
        <v>0</v>
      </c>
      <c r="R34" s="10">
        <f t="shared" si="13"/>
        <v>9450</v>
      </c>
      <c r="S34" s="10">
        <f t="shared" si="14"/>
        <v>9450</v>
      </c>
    </row>
    <row r="35" spans="1:20" s="8" customFormat="1" x14ac:dyDescent="0.35">
      <c r="A35" s="8" t="s">
        <v>146</v>
      </c>
      <c r="B35" s="21" t="s">
        <v>244</v>
      </c>
      <c r="C35" s="21" t="s">
        <v>358</v>
      </c>
      <c r="D35" s="26" t="s">
        <v>245</v>
      </c>
      <c r="E35" s="26"/>
      <c r="F35" s="9">
        <v>45248</v>
      </c>
      <c r="G35" s="10">
        <v>500000</v>
      </c>
      <c r="H35" s="10">
        <v>500000</v>
      </c>
      <c r="I35" s="10">
        <v>0</v>
      </c>
      <c r="J35" s="10">
        <f t="shared" si="8"/>
        <v>500000</v>
      </c>
      <c r="K35" s="10">
        <f t="shared" si="9"/>
        <v>500000</v>
      </c>
      <c r="L35" s="11">
        <v>1</v>
      </c>
      <c r="M35" s="12">
        <v>7.0000000000000007E-2</v>
      </c>
      <c r="N35" s="13">
        <f t="shared" si="10"/>
        <v>35000</v>
      </c>
      <c r="O35" s="13">
        <f t="shared" si="11"/>
        <v>35000</v>
      </c>
      <c r="P35" s="12">
        <v>0.15</v>
      </c>
      <c r="Q35" s="10">
        <f t="shared" si="12"/>
        <v>0</v>
      </c>
      <c r="R35" s="10">
        <f t="shared" si="13"/>
        <v>5250</v>
      </c>
      <c r="S35" s="10">
        <f t="shared" si="14"/>
        <v>5250</v>
      </c>
    </row>
    <row r="36" spans="1:20" s="8" customFormat="1" x14ac:dyDescent="0.35">
      <c r="A36" s="8" t="s">
        <v>147</v>
      </c>
      <c r="B36" s="21" t="s">
        <v>232</v>
      </c>
      <c r="C36" s="21" t="s">
        <v>357</v>
      </c>
      <c r="D36" s="26" t="s">
        <v>245</v>
      </c>
      <c r="E36" s="26"/>
      <c r="F36" s="9">
        <v>45258</v>
      </c>
      <c r="G36" s="10">
        <v>200000</v>
      </c>
      <c r="H36" s="10">
        <v>200000</v>
      </c>
      <c r="I36" s="10">
        <v>0</v>
      </c>
      <c r="J36" s="10">
        <f t="shared" si="8"/>
        <v>200000</v>
      </c>
      <c r="K36" s="10">
        <f t="shared" si="9"/>
        <v>200000</v>
      </c>
      <c r="L36" s="11">
        <v>1</v>
      </c>
      <c r="M36" s="12">
        <v>0.1</v>
      </c>
      <c r="N36" s="13">
        <f t="shared" si="10"/>
        <v>20000</v>
      </c>
      <c r="O36" s="13">
        <f t="shared" si="11"/>
        <v>20000</v>
      </c>
      <c r="P36" s="12">
        <v>0.15</v>
      </c>
      <c r="Q36" s="10">
        <f t="shared" si="12"/>
        <v>0</v>
      </c>
      <c r="R36" s="10">
        <f t="shared" si="13"/>
        <v>3000</v>
      </c>
      <c r="S36" s="10">
        <f t="shared" si="14"/>
        <v>3000</v>
      </c>
    </row>
    <row r="37" spans="1:20" s="8" customFormat="1" x14ac:dyDescent="0.35">
      <c r="A37" s="8" t="s">
        <v>148</v>
      </c>
      <c r="B37" s="21" t="s">
        <v>232</v>
      </c>
      <c r="C37" s="21" t="s">
        <v>357</v>
      </c>
      <c r="D37" s="25">
        <f t="shared" si="0"/>
        <v>0</v>
      </c>
      <c r="E37" s="25"/>
      <c r="F37" s="9">
        <v>45274</v>
      </c>
      <c r="G37" s="10">
        <v>175000</v>
      </c>
      <c r="H37" s="10">
        <v>175000</v>
      </c>
      <c r="I37" s="10">
        <v>0</v>
      </c>
      <c r="J37" s="10">
        <f t="shared" si="8"/>
        <v>175000</v>
      </c>
      <c r="K37" s="10">
        <f t="shared" si="9"/>
        <v>175000</v>
      </c>
      <c r="L37" s="11">
        <v>1</v>
      </c>
      <c r="M37" s="12">
        <v>0.08</v>
      </c>
      <c r="N37" s="13">
        <f t="shared" si="10"/>
        <v>14000</v>
      </c>
      <c r="O37" s="13">
        <f t="shared" si="11"/>
        <v>14000</v>
      </c>
      <c r="P37" s="12">
        <v>0.15</v>
      </c>
      <c r="Q37" s="10">
        <f t="shared" si="12"/>
        <v>0</v>
      </c>
      <c r="R37" s="10">
        <f t="shared" si="13"/>
        <v>2100</v>
      </c>
      <c r="S37" s="10">
        <f t="shared" si="14"/>
        <v>2100</v>
      </c>
    </row>
    <row r="38" spans="1:20" s="8" customFormat="1" x14ac:dyDescent="0.35">
      <c r="A38" s="8" t="s">
        <v>149</v>
      </c>
      <c r="B38" s="21" t="s">
        <v>232</v>
      </c>
      <c r="C38" s="21" t="s">
        <v>357</v>
      </c>
      <c r="D38" s="25">
        <f t="shared" si="0"/>
        <v>0</v>
      </c>
      <c r="E38" s="25"/>
      <c r="F38" s="9">
        <v>45277</v>
      </c>
      <c r="G38" s="10">
        <v>150000</v>
      </c>
      <c r="H38" s="10">
        <v>150000</v>
      </c>
      <c r="I38" s="10">
        <v>0</v>
      </c>
      <c r="J38" s="10">
        <f t="shared" si="1"/>
        <v>150000</v>
      </c>
      <c r="K38" s="10">
        <f t="shared" si="2"/>
        <v>150000</v>
      </c>
      <c r="L38" s="11">
        <v>1</v>
      </c>
      <c r="M38" s="12">
        <v>0.08</v>
      </c>
      <c r="N38" s="13">
        <f t="shared" si="3"/>
        <v>12000</v>
      </c>
      <c r="O38" s="13">
        <f t="shared" si="4"/>
        <v>12000</v>
      </c>
      <c r="P38" s="12">
        <v>0.15</v>
      </c>
      <c r="Q38" s="10">
        <f t="shared" si="5"/>
        <v>0</v>
      </c>
      <c r="R38" s="10">
        <f t="shared" si="6"/>
        <v>1800</v>
      </c>
      <c r="S38" s="10">
        <f t="shared" si="7"/>
        <v>1800</v>
      </c>
    </row>
    <row r="39" spans="1:20" s="8" customFormat="1" x14ac:dyDescent="0.35">
      <c r="A39" s="8" t="s">
        <v>150</v>
      </c>
      <c r="B39" s="21" t="s">
        <v>232</v>
      </c>
      <c r="C39" s="21" t="s">
        <v>357</v>
      </c>
      <c r="D39" s="27">
        <f t="shared" si="0"/>
        <v>0</v>
      </c>
      <c r="E39" s="27"/>
      <c r="F39" s="9">
        <v>45280</v>
      </c>
      <c r="G39" s="10">
        <v>150000</v>
      </c>
      <c r="H39" s="10">
        <v>150000</v>
      </c>
      <c r="I39" s="10">
        <v>0</v>
      </c>
      <c r="J39" s="10">
        <f t="shared" si="1"/>
        <v>150000</v>
      </c>
      <c r="K39" s="10">
        <f t="shared" si="2"/>
        <v>150000</v>
      </c>
      <c r="L39" s="11">
        <v>1</v>
      </c>
      <c r="M39" s="12">
        <v>0.1</v>
      </c>
      <c r="N39" s="13">
        <f t="shared" si="3"/>
        <v>15000</v>
      </c>
      <c r="O39" s="13">
        <f t="shared" si="4"/>
        <v>15000</v>
      </c>
      <c r="P39" s="12">
        <v>0.15</v>
      </c>
      <c r="Q39" s="10">
        <f t="shared" si="5"/>
        <v>0</v>
      </c>
      <c r="R39" s="10">
        <f t="shared" si="6"/>
        <v>2250</v>
      </c>
      <c r="S39" s="10">
        <f t="shared" si="7"/>
        <v>2250</v>
      </c>
    </row>
    <row r="40" spans="1:20" x14ac:dyDescent="0.35">
      <c r="F40" s="4"/>
      <c r="G40" s="3">
        <f>SUM(G2:G39)</f>
        <v>12870000</v>
      </c>
      <c r="H40" s="3">
        <f>SUM(H2:H39)</f>
        <v>13155000</v>
      </c>
      <c r="I40" s="1">
        <f>SUM(I2:I39)</f>
        <v>0</v>
      </c>
      <c r="J40" s="1">
        <f>SUM(J2:J39)</f>
        <v>12870000</v>
      </c>
      <c r="K40" s="1">
        <f>SUM(K2:K39)</f>
        <v>13155000</v>
      </c>
      <c r="L40" s="1"/>
      <c r="N40" s="14">
        <f>SUM(N2:N39)</f>
        <v>1023000</v>
      </c>
      <c r="O40" s="14">
        <f>SUM(O2:O39)</f>
        <v>992625</v>
      </c>
      <c r="Q40" s="1">
        <f>SUM(Q2:Q39)</f>
        <v>0</v>
      </c>
      <c r="R40" s="1">
        <f>SUM(R2:R39)</f>
        <v>148893.75</v>
      </c>
      <c r="S40" s="1">
        <f>SUM(S2:S39)</f>
        <v>152662.5</v>
      </c>
      <c r="T40" s="8"/>
    </row>
    <row r="41" spans="1:20" x14ac:dyDescent="0.35">
      <c r="F41" s="4"/>
      <c r="G41" s="1">
        <f>AVERAGE(G21:G39,G8:G19,G3:G6,G2)</f>
        <v>357500</v>
      </c>
      <c r="H41" s="1">
        <f>AVERAGE(H21:H39,H8:H19,H3:H6,H2)</f>
        <v>365416.66666666669</v>
      </c>
      <c r="M41" s="2">
        <f>AVERAGE(M2:M39)</f>
        <v>9.263157894736844E-2</v>
      </c>
      <c r="O41" s="15">
        <f>O40*0.25</f>
        <v>248156.25</v>
      </c>
      <c r="Q41" s="1"/>
      <c r="T41" s="8"/>
    </row>
    <row r="42" spans="1:20" x14ac:dyDescent="0.35">
      <c r="T42" s="8"/>
    </row>
    <row r="43" spans="1:20" x14ac:dyDescent="0.35">
      <c r="B43" s="21" t="s">
        <v>257</v>
      </c>
      <c r="C43" s="21"/>
      <c r="D43" s="24"/>
      <c r="E43" s="83"/>
      <c r="F43" s="4"/>
      <c r="J43" s="1"/>
      <c r="K43" s="1"/>
      <c r="M43"/>
      <c r="N43"/>
      <c r="O43"/>
    </row>
    <row r="44" spans="1:20" x14ac:dyDescent="0.35">
      <c r="B44" s="21" t="s">
        <v>262</v>
      </c>
      <c r="C44" s="21"/>
      <c r="D44" s="24"/>
      <c r="E44" s="83"/>
      <c r="F44" s="4"/>
      <c r="J44" s="1"/>
      <c r="K44" s="1"/>
      <c r="M44"/>
      <c r="N44"/>
      <c r="O44"/>
    </row>
    <row r="45" spans="1:20" x14ac:dyDescent="0.35">
      <c r="B45" s="21" t="s">
        <v>258</v>
      </c>
      <c r="C45" s="21"/>
      <c r="D45" s="24"/>
      <c r="E45" s="83"/>
    </row>
    <row r="46" spans="1:20" x14ac:dyDescent="0.35">
      <c r="B46" s="21" t="s">
        <v>259</v>
      </c>
      <c r="C46" s="21"/>
      <c r="D46" s="24"/>
      <c r="E46" s="83"/>
    </row>
    <row r="47" spans="1:20" x14ac:dyDescent="0.35">
      <c r="B47" s="21" t="s">
        <v>260</v>
      </c>
      <c r="C47" s="21"/>
      <c r="D47" s="24"/>
      <c r="E47" s="83"/>
    </row>
    <row r="48" spans="1:20" x14ac:dyDescent="0.35">
      <c r="B48" s="21" t="s">
        <v>261</v>
      </c>
      <c r="C48" s="21"/>
      <c r="D48" s="24"/>
      <c r="E48" s="83"/>
    </row>
    <row r="49" spans="2:5" x14ac:dyDescent="0.35">
      <c r="B49" s="21" t="s">
        <v>264</v>
      </c>
      <c r="C49" s="21"/>
      <c r="D49" s="24"/>
      <c r="E49" s="83"/>
    </row>
    <row r="50" spans="2:5" x14ac:dyDescent="0.35">
      <c r="B50" s="21" t="s">
        <v>263</v>
      </c>
      <c r="C50" s="21"/>
      <c r="D50" s="24"/>
      <c r="E50" s="83"/>
    </row>
    <row r="51" spans="2:5" x14ac:dyDescent="0.35">
      <c r="B51" s="21" t="s">
        <v>265</v>
      </c>
      <c r="C51" s="21"/>
      <c r="D51" s="24"/>
      <c r="E51" s="83"/>
    </row>
    <row r="52" spans="2:5" x14ac:dyDescent="0.35">
      <c r="B52" s="21"/>
      <c r="C52" s="21"/>
      <c r="D52" s="24"/>
      <c r="E52" s="83"/>
    </row>
    <row r="53" spans="2:5" x14ac:dyDescent="0.35">
      <c r="B53" s="21"/>
      <c r="C53" s="21"/>
      <c r="D53" s="24"/>
      <c r="E53" s="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38A6-FD37-42FF-9C99-66903CD5A63D}">
  <dimension ref="A1:T69"/>
  <sheetViews>
    <sheetView topLeftCell="A41" zoomScale="84" workbookViewId="0">
      <selection activeCell="B64" sqref="B64"/>
    </sheetView>
  </sheetViews>
  <sheetFormatPr defaultRowHeight="14.5" x14ac:dyDescent="0.35"/>
  <cols>
    <col min="1" max="2" width="25.54296875" customWidth="1"/>
    <col min="3" max="3" width="6.7265625" customWidth="1"/>
    <col min="4" max="5" width="25.54296875" customWidth="1"/>
    <col min="6" max="6" width="15.81640625" customWidth="1"/>
    <col min="7" max="7" width="16.453125" style="1" customWidth="1"/>
    <col min="8" max="8" width="17.54296875" style="1" customWidth="1"/>
    <col min="9" max="9" width="17.81640625" style="1" customWidth="1"/>
    <col min="10" max="11" width="17.26953125" customWidth="1"/>
    <col min="12" max="12" width="9.81640625" customWidth="1"/>
    <col min="13" max="13" width="7.1796875" style="2" customWidth="1"/>
    <col min="14" max="15" width="14.81640625" style="2" bestFit="1" customWidth="1"/>
    <col min="16" max="16" width="9.453125" customWidth="1"/>
    <col min="17" max="17" width="12.54296875" customWidth="1"/>
    <col min="18" max="18" width="12.81640625" customWidth="1"/>
    <col min="19" max="19" width="14.1796875" customWidth="1"/>
  </cols>
  <sheetData>
    <row r="1" spans="1:19" s="8" customFormat="1" x14ac:dyDescent="0.35">
      <c r="A1" s="5" t="s">
        <v>15</v>
      </c>
      <c r="B1" s="5" t="s">
        <v>231</v>
      </c>
      <c r="C1" s="5" t="s">
        <v>356</v>
      </c>
      <c r="D1" s="22" t="s">
        <v>365</v>
      </c>
      <c r="E1" s="22" t="s">
        <v>366</v>
      </c>
      <c r="F1" s="5" t="s">
        <v>20</v>
      </c>
      <c r="G1" s="6" t="s">
        <v>80</v>
      </c>
      <c r="H1" s="6" t="s">
        <v>33</v>
      </c>
      <c r="I1" s="6" t="s">
        <v>47</v>
      </c>
      <c r="J1" s="5" t="s">
        <v>37</v>
      </c>
      <c r="K1" s="5" t="s">
        <v>38</v>
      </c>
      <c r="L1" s="5" t="s">
        <v>21</v>
      </c>
      <c r="M1" s="7" t="s">
        <v>14</v>
      </c>
      <c r="N1" s="7" t="s">
        <v>45</v>
      </c>
      <c r="O1" s="7" t="s">
        <v>46</v>
      </c>
      <c r="P1" s="5" t="s">
        <v>19</v>
      </c>
      <c r="Q1" s="5" t="s">
        <v>22</v>
      </c>
      <c r="R1" s="5" t="s">
        <v>35</v>
      </c>
      <c r="S1" s="5" t="s">
        <v>36</v>
      </c>
    </row>
    <row r="2" spans="1:19" s="8" customFormat="1" x14ac:dyDescent="0.35">
      <c r="A2" s="8" t="s">
        <v>151</v>
      </c>
      <c r="B2" s="21" t="s">
        <v>232</v>
      </c>
      <c r="C2" s="21" t="s">
        <v>357</v>
      </c>
      <c r="D2" s="24">
        <f t="shared" ref="D2:D52" si="0">(H2-G2)/G2*100</f>
        <v>0</v>
      </c>
      <c r="E2" s="24"/>
      <c r="F2" s="9">
        <v>45297</v>
      </c>
      <c r="G2" s="10">
        <v>300000</v>
      </c>
      <c r="H2" s="10">
        <v>300000</v>
      </c>
      <c r="I2" s="10">
        <v>300000</v>
      </c>
      <c r="J2" s="10">
        <f>G2-I2</f>
        <v>0</v>
      </c>
      <c r="K2" s="10">
        <f>H2-I2</f>
        <v>0</v>
      </c>
      <c r="L2" s="11">
        <v>1</v>
      </c>
      <c r="M2" s="12">
        <v>0.08</v>
      </c>
      <c r="N2" s="13">
        <f>J2*M2</f>
        <v>0</v>
      </c>
      <c r="O2" s="13">
        <f>L2*G2*M2</f>
        <v>24000</v>
      </c>
      <c r="P2" s="12">
        <v>0.15</v>
      </c>
      <c r="Q2" s="10">
        <f>I2*L2*M2*P2</f>
        <v>3600</v>
      </c>
      <c r="R2" s="10">
        <f>J2*L2*M2*P2</f>
        <v>0</v>
      </c>
      <c r="S2" s="10">
        <f>K2*L2*M2*P2</f>
        <v>0</v>
      </c>
    </row>
    <row r="3" spans="1:19" s="8" customFormat="1" x14ac:dyDescent="0.35">
      <c r="A3" s="8" t="s">
        <v>172</v>
      </c>
      <c r="B3" s="21" t="s">
        <v>240</v>
      </c>
      <c r="C3" s="21" t="s">
        <v>358</v>
      </c>
      <c r="D3" s="24">
        <f t="shared" si="0"/>
        <v>0</v>
      </c>
      <c r="E3" s="24"/>
      <c r="F3" s="9">
        <v>45302</v>
      </c>
      <c r="G3" s="10">
        <v>170000</v>
      </c>
      <c r="H3" s="10">
        <v>170000</v>
      </c>
      <c r="I3" s="10">
        <v>170000</v>
      </c>
      <c r="J3" s="10">
        <f>G3-I3</f>
        <v>0</v>
      </c>
      <c r="K3" s="10">
        <f>H3-I3</f>
        <v>0</v>
      </c>
      <c r="L3" s="11">
        <v>0.75</v>
      </c>
      <c r="M3" s="12">
        <v>0.1</v>
      </c>
      <c r="N3" s="13">
        <f>J3*M3</f>
        <v>0</v>
      </c>
      <c r="O3" s="13">
        <f>L3*G3*M3</f>
        <v>12750</v>
      </c>
      <c r="P3" s="12">
        <v>0.15</v>
      </c>
      <c r="Q3" s="10">
        <f>I3*L3*M3*P3</f>
        <v>1912.5</v>
      </c>
      <c r="R3" s="10">
        <f>J3*L3*M3*P3</f>
        <v>0</v>
      </c>
      <c r="S3" s="10">
        <f>K3*L3*M3*P3</f>
        <v>0</v>
      </c>
    </row>
    <row r="4" spans="1:19" s="8" customFormat="1" x14ac:dyDescent="0.35">
      <c r="A4" s="8" t="s">
        <v>152</v>
      </c>
      <c r="B4" s="21" t="s">
        <v>236</v>
      </c>
      <c r="C4" s="21" t="s">
        <v>357</v>
      </c>
      <c r="D4" s="25">
        <f>(H4-G4)/G4*100</f>
        <v>86</v>
      </c>
      <c r="E4" s="25"/>
      <c r="F4" s="9">
        <v>45303</v>
      </c>
      <c r="G4" s="10">
        <v>250000</v>
      </c>
      <c r="H4" s="10">
        <v>465000</v>
      </c>
      <c r="I4" s="10">
        <v>465000</v>
      </c>
      <c r="J4" s="10">
        <f t="shared" ref="J4:J64" si="1">G4-I4</f>
        <v>-215000</v>
      </c>
      <c r="K4" s="10">
        <f t="shared" ref="K4:K64" si="2">H4-I4</f>
        <v>0</v>
      </c>
      <c r="L4" s="11">
        <v>1</v>
      </c>
      <c r="M4" s="12">
        <v>0.06</v>
      </c>
      <c r="N4" s="13">
        <f t="shared" ref="N4:N64" si="3">J4*M4</f>
        <v>-12900</v>
      </c>
      <c r="O4" s="13">
        <f t="shared" ref="O4:O64" si="4">L4*G4*M4</f>
        <v>15000</v>
      </c>
      <c r="P4" s="12">
        <v>0.15</v>
      </c>
      <c r="Q4" s="10">
        <f t="shared" ref="Q4:Q64" si="5">I4*L4*M4*P4</f>
        <v>4185</v>
      </c>
      <c r="R4" s="10">
        <f t="shared" ref="R4:R64" si="6">J4*L4*M4*P4</f>
        <v>-1935</v>
      </c>
      <c r="S4" s="10">
        <f t="shared" ref="S4:S64" si="7">K4*L4*M4*P4</f>
        <v>0</v>
      </c>
    </row>
    <row r="5" spans="1:19" s="8" customFormat="1" x14ac:dyDescent="0.35">
      <c r="A5" s="8" t="s">
        <v>153</v>
      </c>
      <c r="B5" s="21" t="s">
        <v>232</v>
      </c>
      <c r="C5" s="21" t="s">
        <v>357</v>
      </c>
      <c r="D5" s="24">
        <f t="shared" si="0"/>
        <v>0</v>
      </c>
      <c r="E5" s="24"/>
      <c r="F5" s="9">
        <v>45305</v>
      </c>
      <c r="G5" s="10">
        <v>140000</v>
      </c>
      <c r="H5" s="10">
        <v>140000</v>
      </c>
      <c r="I5" s="10">
        <v>140000</v>
      </c>
      <c r="J5" s="10">
        <f t="shared" si="1"/>
        <v>0</v>
      </c>
      <c r="K5" s="10">
        <f t="shared" si="2"/>
        <v>0</v>
      </c>
      <c r="L5" s="11">
        <v>1</v>
      </c>
      <c r="M5" s="12">
        <v>0.1</v>
      </c>
      <c r="N5" s="13">
        <f t="shared" si="3"/>
        <v>0</v>
      </c>
      <c r="O5" s="13">
        <f t="shared" si="4"/>
        <v>14000</v>
      </c>
      <c r="P5" s="12">
        <v>0.15</v>
      </c>
      <c r="Q5" s="10">
        <f t="shared" si="5"/>
        <v>2100</v>
      </c>
      <c r="R5" s="10">
        <f t="shared" si="6"/>
        <v>0</v>
      </c>
      <c r="S5" s="10">
        <f t="shared" si="7"/>
        <v>0</v>
      </c>
    </row>
    <row r="6" spans="1:19" s="8" customFormat="1" x14ac:dyDescent="0.35">
      <c r="A6" s="8" t="s">
        <v>171</v>
      </c>
      <c r="B6" s="21" t="s">
        <v>246</v>
      </c>
      <c r="C6" s="21" t="s">
        <v>358</v>
      </c>
      <c r="D6" s="26" t="s">
        <v>245</v>
      </c>
      <c r="E6" s="26"/>
      <c r="F6" s="9">
        <v>45306</v>
      </c>
      <c r="G6" s="10">
        <v>100000</v>
      </c>
      <c r="H6" s="10">
        <v>0</v>
      </c>
      <c r="I6" s="10">
        <v>0</v>
      </c>
      <c r="J6" s="10">
        <f t="shared" si="1"/>
        <v>100000</v>
      </c>
      <c r="K6" s="10">
        <f t="shared" si="2"/>
        <v>0</v>
      </c>
      <c r="L6" s="11">
        <v>0.75</v>
      </c>
      <c r="M6" s="12">
        <v>0.1</v>
      </c>
      <c r="N6" s="13">
        <f t="shared" si="3"/>
        <v>10000</v>
      </c>
      <c r="O6" s="13">
        <f t="shared" si="4"/>
        <v>7500</v>
      </c>
      <c r="P6" s="12">
        <v>0.15</v>
      </c>
      <c r="Q6" s="10">
        <f t="shared" si="5"/>
        <v>0</v>
      </c>
      <c r="R6" s="10">
        <f t="shared" si="6"/>
        <v>1125</v>
      </c>
      <c r="S6" s="10">
        <f t="shared" si="7"/>
        <v>0</v>
      </c>
    </row>
    <row r="7" spans="1:19" s="8" customFormat="1" x14ac:dyDescent="0.35">
      <c r="A7" s="8" t="s">
        <v>154</v>
      </c>
      <c r="B7" s="21" t="s">
        <v>234</v>
      </c>
      <c r="C7" s="21" t="s">
        <v>357</v>
      </c>
      <c r="D7" s="24">
        <f t="shared" si="0"/>
        <v>-28.999999999999996</v>
      </c>
      <c r="E7" s="24"/>
      <c r="F7" s="9">
        <v>45307</v>
      </c>
      <c r="G7" s="10">
        <v>100000</v>
      </c>
      <c r="H7" s="10">
        <v>71000</v>
      </c>
      <c r="I7" s="10">
        <v>71000</v>
      </c>
      <c r="J7" s="10">
        <v>100000</v>
      </c>
      <c r="K7" s="10">
        <f t="shared" si="2"/>
        <v>0</v>
      </c>
      <c r="L7" s="11">
        <v>1</v>
      </c>
      <c r="M7" s="12">
        <v>0.1</v>
      </c>
      <c r="N7" s="13">
        <f t="shared" si="3"/>
        <v>10000</v>
      </c>
      <c r="O7" s="13">
        <f t="shared" si="4"/>
        <v>10000</v>
      </c>
      <c r="P7" s="12">
        <v>0.15</v>
      </c>
      <c r="Q7" s="10">
        <f t="shared" si="5"/>
        <v>1065</v>
      </c>
      <c r="R7" s="10">
        <f t="shared" si="6"/>
        <v>1500</v>
      </c>
      <c r="S7" s="10">
        <f t="shared" si="7"/>
        <v>0</v>
      </c>
    </row>
    <row r="8" spans="1:19" s="8" customFormat="1" x14ac:dyDescent="0.35">
      <c r="A8" s="8" t="s">
        <v>155</v>
      </c>
      <c r="B8" s="21" t="s">
        <v>241</v>
      </c>
      <c r="C8" s="21" t="s">
        <v>358</v>
      </c>
      <c r="D8" s="24">
        <f t="shared" si="0"/>
        <v>11.4</v>
      </c>
      <c r="E8" s="24"/>
      <c r="F8" s="9">
        <v>45308</v>
      </c>
      <c r="G8" s="10">
        <v>500000</v>
      </c>
      <c r="H8" s="10">
        <v>557000</v>
      </c>
      <c r="I8" s="10">
        <v>557000</v>
      </c>
      <c r="J8" s="10">
        <f t="shared" si="1"/>
        <v>-57000</v>
      </c>
      <c r="K8" s="10">
        <f t="shared" si="2"/>
        <v>0</v>
      </c>
      <c r="L8" s="11">
        <v>1</v>
      </c>
      <c r="M8" s="12">
        <v>0.1</v>
      </c>
      <c r="N8" s="13">
        <f t="shared" si="3"/>
        <v>-5700</v>
      </c>
      <c r="O8" s="13">
        <f t="shared" si="4"/>
        <v>50000</v>
      </c>
      <c r="P8" s="12">
        <v>0.15</v>
      </c>
      <c r="Q8" s="10">
        <f t="shared" si="5"/>
        <v>8355</v>
      </c>
      <c r="R8" s="10">
        <f t="shared" si="6"/>
        <v>-855</v>
      </c>
      <c r="S8" s="10">
        <f t="shared" si="7"/>
        <v>0</v>
      </c>
    </row>
    <row r="9" spans="1:19" s="8" customFormat="1" x14ac:dyDescent="0.35">
      <c r="A9" s="18" t="s">
        <v>170</v>
      </c>
      <c r="B9" s="21" t="s">
        <v>236</v>
      </c>
      <c r="C9" s="21" t="s">
        <v>357</v>
      </c>
      <c r="D9" s="24">
        <f t="shared" si="0"/>
        <v>0</v>
      </c>
      <c r="E9" s="24"/>
      <c r="F9" s="9">
        <v>45308</v>
      </c>
      <c r="G9" s="10">
        <v>150000</v>
      </c>
      <c r="H9" s="10">
        <v>150000</v>
      </c>
      <c r="I9" s="10">
        <v>150000</v>
      </c>
      <c r="J9" s="10">
        <f t="shared" si="1"/>
        <v>0</v>
      </c>
      <c r="K9" s="10">
        <f t="shared" si="2"/>
        <v>0</v>
      </c>
      <c r="L9" s="11">
        <v>0.75</v>
      </c>
      <c r="M9" s="12">
        <v>0.08</v>
      </c>
      <c r="N9" s="13">
        <f t="shared" si="3"/>
        <v>0</v>
      </c>
      <c r="O9" s="13">
        <f t="shared" si="4"/>
        <v>9000</v>
      </c>
      <c r="P9" s="12">
        <v>0.15</v>
      </c>
      <c r="Q9" s="10">
        <f t="shared" si="5"/>
        <v>1350</v>
      </c>
      <c r="R9" s="10">
        <f t="shared" si="6"/>
        <v>0</v>
      </c>
      <c r="S9" s="10">
        <f t="shared" si="7"/>
        <v>0</v>
      </c>
    </row>
    <row r="10" spans="1:19" s="8" customFormat="1" x14ac:dyDescent="0.35">
      <c r="A10" s="8" t="s">
        <v>156</v>
      </c>
      <c r="B10" s="21" t="s">
        <v>232</v>
      </c>
      <c r="C10" s="21" t="s">
        <v>357</v>
      </c>
      <c r="D10" s="25">
        <f t="shared" si="0"/>
        <v>7.1428571428571423</v>
      </c>
      <c r="E10" s="25"/>
      <c r="F10" s="9">
        <v>45323</v>
      </c>
      <c r="G10" s="10">
        <v>140000</v>
      </c>
      <c r="H10" s="10">
        <v>150000</v>
      </c>
      <c r="I10" s="10">
        <v>150000</v>
      </c>
      <c r="J10" s="10">
        <f t="shared" si="1"/>
        <v>-10000</v>
      </c>
      <c r="K10" s="10">
        <f t="shared" si="2"/>
        <v>0</v>
      </c>
      <c r="L10" s="11">
        <v>1</v>
      </c>
      <c r="M10" s="12">
        <v>0.1</v>
      </c>
      <c r="N10" s="13">
        <f t="shared" si="3"/>
        <v>-1000</v>
      </c>
      <c r="O10" s="13">
        <f t="shared" si="4"/>
        <v>14000</v>
      </c>
      <c r="P10" s="12">
        <v>0.15</v>
      </c>
      <c r="Q10" s="10">
        <f t="shared" si="5"/>
        <v>2250</v>
      </c>
      <c r="R10" s="10">
        <f t="shared" si="6"/>
        <v>-150</v>
      </c>
      <c r="S10" s="10">
        <f t="shared" si="7"/>
        <v>0</v>
      </c>
    </row>
    <row r="11" spans="1:19" s="8" customFormat="1" x14ac:dyDescent="0.35">
      <c r="A11" s="8" t="s">
        <v>157</v>
      </c>
      <c r="B11" s="21" t="s">
        <v>232</v>
      </c>
      <c r="C11" s="21" t="s">
        <v>357</v>
      </c>
      <c r="D11" s="27">
        <f t="shared" si="0"/>
        <v>-20</v>
      </c>
      <c r="E11" s="27"/>
      <c r="F11" s="9">
        <v>45351</v>
      </c>
      <c r="G11" s="10">
        <v>200000</v>
      </c>
      <c r="H11" s="10">
        <v>160000</v>
      </c>
      <c r="I11" s="10">
        <v>160000</v>
      </c>
      <c r="J11" s="10">
        <f t="shared" si="1"/>
        <v>40000</v>
      </c>
      <c r="K11" s="10">
        <f t="shared" si="2"/>
        <v>0</v>
      </c>
      <c r="L11" s="11">
        <v>1</v>
      </c>
      <c r="M11" s="12">
        <v>0.1</v>
      </c>
      <c r="N11" s="13">
        <f t="shared" si="3"/>
        <v>4000</v>
      </c>
      <c r="O11" s="13">
        <f t="shared" si="4"/>
        <v>20000</v>
      </c>
      <c r="P11" s="12">
        <v>0.15</v>
      </c>
      <c r="Q11" s="10">
        <f t="shared" si="5"/>
        <v>2400</v>
      </c>
      <c r="R11" s="10">
        <f t="shared" si="6"/>
        <v>600</v>
      </c>
      <c r="S11" s="10">
        <f t="shared" si="7"/>
        <v>0</v>
      </c>
    </row>
    <row r="12" spans="1:19" s="8" customFormat="1" x14ac:dyDescent="0.35">
      <c r="A12" s="8" t="s">
        <v>169</v>
      </c>
      <c r="B12" s="21" t="s">
        <v>246</v>
      </c>
      <c r="C12" s="21" t="s">
        <v>358</v>
      </c>
      <c r="D12" s="26" t="s">
        <v>245</v>
      </c>
      <c r="E12" s="26"/>
      <c r="F12" s="9">
        <v>45352</v>
      </c>
      <c r="G12" s="10">
        <v>75000</v>
      </c>
      <c r="H12" s="10">
        <v>0</v>
      </c>
      <c r="I12" s="10">
        <v>0</v>
      </c>
      <c r="J12" s="10">
        <f t="shared" si="1"/>
        <v>75000</v>
      </c>
      <c r="K12" s="10">
        <f t="shared" si="2"/>
        <v>0</v>
      </c>
      <c r="L12" s="11">
        <v>1</v>
      </c>
      <c r="M12" s="12">
        <v>0.1</v>
      </c>
      <c r="N12" s="13">
        <f t="shared" si="3"/>
        <v>7500</v>
      </c>
      <c r="O12" s="13">
        <f t="shared" si="4"/>
        <v>7500</v>
      </c>
      <c r="P12" s="12">
        <v>0.15</v>
      </c>
      <c r="Q12" s="10">
        <f t="shared" si="5"/>
        <v>0</v>
      </c>
      <c r="R12" s="10">
        <f t="shared" si="6"/>
        <v>1125</v>
      </c>
      <c r="S12" s="10">
        <f t="shared" si="7"/>
        <v>0</v>
      </c>
    </row>
    <row r="13" spans="1:19" s="8" customFormat="1" x14ac:dyDescent="0.35">
      <c r="A13" s="8" t="s">
        <v>158</v>
      </c>
      <c r="B13" s="21" t="s">
        <v>232</v>
      </c>
      <c r="C13" s="21" t="s">
        <v>357</v>
      </c>
      <c r="D13" s="25">
        <f t="shared" si="0"/>
        <v>33.333333333333329</v>
      </c>
      <c r="E13" s="25"/>
      <c r="F13" s="9">
        <v>45352</v>
      </c>
      <c r="G13" s="10">
        <v>300000</v>
      </c>
      <c r="H13" s="10">
        <v>400000</v>
      </c>
      <c r="I13" s="10">
        <v>400000</v>
      </c>
      <c r="J13" s="10">
        <f t="shared" si="1"/>
        <v>-100000</v>
      </c>
      <c r="K13" s="10">
        <f t="shared" si="2"/>
        <v>0</v>
      </c>
      <c r="L13" s="11">
        <v>1</v>
      </c>
      <c r="M13" s="12">
        <v>0.08</v>
      </c>
      <c r="N13" s="13">
        <f t="shared" si="3"/>
        <v>-8000</v>
      </c>
      <c r="O13" s="13">
        <f t="shared" si="4"/>
        <v>24000</v>
      </c>
      <c r="P13" s="12">
        <v>0.15</v>
      </c>
      <c r="Q13" s="10">
        <f t="shared" si="5"/>
        <v>4800</v>
      </c>
      <c r="R13" s="10">
        <f t="shared" si="6"/>
        <v>-1200</v>
      </c>
      <c r="S13" s="10">
        <f t="shared" si="7"/>
        <v>0</v>
      </c>
    </row>
    <row r="14" spans="1:19" s="8" customFormat="1" x14ac:dyDescent="0.35">
      <c r="A14" s="8" t="s">
        <v>242</v>
      </c>
      <c r="B14" s="21" t="s">
        <v>232</v>
      </c>
      <c r="C14" s="21" t="s">
        <v>357</v>
      </c>
      <c r="D14" s="25">
        <f t="shared" si="0"/>
        <v>7.5</v>
      </c>
      <c r="E14" s="25"/>
      <c r="F14" s="9">
        <v>45358</v>
      </c>
      <c r="G14" s="10">
        <v>200000</v>
      </c>
      <c r="H14" s="10">
        <v>215000</v>
      </c>
      <c r="I14" s="10">
        <v>215000</v>
      </c>
      <c r="J14" s="10">
        <f t="shared" ref="J14" si="8">G14-I14</f>
        <v>-15000</v>
      </c>
      <c r="K14" s="10">
        <f t="shared" ref="K14" si="9">H14-I14</f>
        <v>0</v>
      </c>
      <c r="L14" s="11">
        <v>1</v>
      </c>
      <c r="M14" s="12">
        <v>0.08</v>
      </c>
      <c r="N14" s="13">
        <f t="shared" ref="N14" si="10">J14*M14</f>
        <v>-1200</v>
      </c>
      <c r="O14" s="13">
        <f t="shared" ref="O14" si="11">L14*G14*M14</f>
        <v>16000</v>
      </c>
      <c r="P14" s="12">
        <v>1.1499999999999999</v>
      </c>
      <c r="Q14" s="10">
        <f t="shared" ref="Q14" si="12">I14*L14*M14*P14</f>
        <v>19780</v>
      </c>
      <c r="R14" s="10">
        <f t="shared" ref="R14" si="13">J14*L14*M14*P14</f>
        <v>-1380</v>
      </c>
      <c r="S14" s="10">
        <f t="shared" ref="S14" si="14">K14*L14*M14*P14</f>
        <v>0</v>
      </c>
    </row>
    <row r="15" spans="1:19" s="8" customFormat="1" x14ac:dyDescent="0.35">
      <c r="A15" s="8" t="s">
        <v>159</v>
      </c>
      <c r="B15" s="21" t="s">
        <v>232</v>
      </c>
      <c r="C15" s="21" t="s">
        <v>357</v>
      </c>
      <c r="D15" s="25">
        <f t="shared" si="0"/>
        <v>22.222222222222221</v>
      </c>
      <c r="E15" s="25"/>
      <c r="F15" s="9">
        <v>45371</v>
      </c>
      <c r="G15" s="10">
        <v>900000</v>
      </c>
      <c r="H15" s="10">
        <v>1100000</v>
      </c>
      <c r="I15" s="10">
        <v>1100000</v>
      </c>
      <c r="J15" s="10">
        <f t="shared" si="1"/>
        <v>-200000</v>
      </c>
      <c r="K15" s="10">
        <f t="shared" si="2"/>
        <v>0</v>
      </c>
      <c r="L15" s="11">
        <v>1</v>
      </c>
      <c r="M15" s="12">
        <v>7.0000000000000007E-2</v>
      </c>
      <c r="N15" s="13">
        <f t="shared" si="3"/>
        <v>-14000.000000000002</v>
      </c>
      <c r="O15" s="13">
        <f t="shared" si="4"/>
        <v>63000.000000000007</v>
      </c>
      <c r="P15" s="12">
        <v>0.15</v>
      </c>
      <c r="Q15" s="10">
        <f t="shared" si="5"/>
        <v>11550.000000000002</v>
      </c>
      <c r="R15" s="10">
        <f t="shared" si="6"/>
        <v>-2100</v>
      </c>
      <c r="S15" s="10">
        <f t="shared" si="7"/>
        <v>0</v>
      </c>
    </row>
    <row r="16" spans="1:19" s="8" customFormat="1" x14ac:dyDescent="0.35">
      <c r="A16" s="8" t="s">
        <v>160</v>
      </c>
      <c r="B16" s="21" t="s">
        <v>232</v>
      </c>
      <c r="C16" s="21" t="s">
        <v>357</v>
      </c>
      <c r="D16" s="25">
        <f t="shared" si="0"/>
        <v>60</v>
      </c>
      <c r="E16" s="25"/>
      <c r="F16" s="9">
        <v>45390</v>
      </c>
      <c r="G16" s="10">
        <v>250000</v>
      </c>
      <c r="H16" s="10">
        <v>400000</v>
      </c>
      <c r="I16" s="10">
        <v>400000</v>
      </c>
      <c r="J16" s="10">
        <f t="shared" si="1"/>
        <v>-150000</v>
      </c>
      <c r="K16" s="10">
        <f t="shared" si="2"/>
        <v>0</v>
      </c>
      <c r="L16" s="11">
        <v>1</v>
      </c>
      <c r="M16" s="12">
        <v>0.08</v>
      </c>
      <c r="N16" s="13">
        <f t="shared" si="3"/>
        <v>-12000</v>
      </c>
      <c r="O16" s="13">
        <f t="shared" si="4"/>
        <v>20000</v>
      </c>
      <c r="P16" s="12">
        <v>0.15</v>
      </c>
      <c r="Q16" s="10">
        <f t="shared" si="5"/>
        <v>4800</v>
      </c>
      <c r="R16" s="10">
        <f t="shared" si="6"/>
        <v>-1800</v>
      </c>
      <c r="S16" s="10">
        <f t="shared" si="7"/>
        <v>0</v>
      </c>
    </row>
    <row r="17" spans="1:19" s="8" customFormat="1" x14ac:dyDescent="0.35">
      <c r="A17" s="8" t="s">
        <v>168</v>
      </c>
      <c r="B17" s="21" t="s">
        <v>236</v>
      </c>
      <c r="C17" s="21" t="s">
        <v>357</v>
      </c>
      <c r="D17" s="27">
        <f t="shared" si="0"/>
        <v>-8</v>
      </c>
      <c r="E17" s="27"/>
      <c r="F17" s="9">
        <v>45413</v>
      </c>
      <c r="G17" s="10">
        <v>2500000</v>
      </c>
      <c r="H17" s="10">
        <v>2300000</v>
      </c>
      <c r="I17" s="10">
        <v>0</v>
      </c>
      <c r="J17" s="10">
        <f t="shared" si="1"/>
        <v>2500000</v>
      </c>
      <c r="K17" s="10">
        <f t="shared" si="2"/>
        <v>2300000</v>
      </c>
      <c r="L17" s="11">
        <v>0.75</v>
      </c>
      <c r="M17" s="12">
        <v>0.06</v>
      </c>
      <c r="N17" s="13">
        <f t="shared" si="3"/>
        <v>150000</v>
      </c>
      <c r="O17" s="13">
        <f t="shared" si="4"/>
        <v>112500</v>
      </c>
      <c r="P17" s="12">
        <v>0.15</v>
      </c>
      <c r="Q17" s="10">
        <f t="shared" si="5"/>
        <v>0</v>
      </c>
      <c r="R17" s="10">
        <f t="shared" si="6"/>
        <v>16875</v>
      </c>
      <c r="S17" s="10">
        <f t="shared" si="7"/>
        <v>15525</v>
      </c>
    </row>
    <row r="18" spans="1:19" s="8" customFormat="1" x14ac:dyDescent="0.35">
      <c r="A18" s="8" t="s">
        <v>161</v>
      </c>
      <c r="B18" s="21" t="s">
        <v>232</v>
      </c>
      <c r="C18" s="21" t="s">
        <v>357</v>
      </c>
      <c r="D18" s="25">
        <f>(H18-G18)/G18*100</f>
        <v>55.500000000000007</v>
      </c>
      <c r="E18" s="25"/>
      <c r="F18" s="9">
        <v>45418</v>
      </c>
      <c r="G18" s="10">
        <v>200000</v>
      </c>
      <c r="H18" s="10">
        <v>311000</v>
      </c>
      <c r="I18" s="10">
        <v>311000</v>
      </c>
      <c r="J18" s="10">
        <f t="shared" si="1"/>
        <v>-111000</v>
      </c>
      <c r="K18" s="10">
        <f t="shared" si="2"/>
        <v>0</v>
      </c>
      <c r="L18" s="11">
        <v>1</v>
      </c>
      <c r="M18" s="12">
        <v>0.1</v>
      </c>
      <c r="N18" s="13">
        <f t="shared" si="3"/>
        <v>-11100</v>
      </c>
      <c r="O18" s="13">
        <f t="shared" si="4"/>
        <v>20000</v>
      </c>
      <c r="P18" s="12">
        <v>0.15</v>
      </c>
      <c r="Q18" s="10">
        <f t="shared" si="5"/>
        <v>4665</v>
      </c>
      <c r="R18" s="10">
        <f t="shared" si="6"/>
        <v>-1665</v>
      </c>
      <c r="S18" s="10">
        <f t="shared" si="7"/>
        <v>0</v>
      </c>
    </row>
    <row r="19" spans="1:19" s="8" customFormat="1" x14ac:dyDescent="0.35">
      <c r="A19" s="8" t="s">
        <v>167</v>
      </c>
      <c r="B19" s="21" t="s">
        <v>232</v>
      </c>
      <c r="C19" s="21" t="s">
        <v>357</v>
      </c>
      <c r="D19" s="25">
        <f>(H19-G19)/G19*100</f>
        <v>79.95</v>
      </c>
      <c r="E19" s="25"/>
      <c r="F19" s="9">
        <v>45441</v>
      </c>
      <c r="G19" s="10">
        <v>2000000</v>
      </c>
      <c r="H19" s="10">
        <v>3599000</v>
      </c>
      <c r="I19" s="10">
        <v>3599000</v>
      </c>
      <c r="J19" s="10">
        <f t="shared" si="1"/>
        <v>-1599000</v>
      </c>
      <c r="K19" s="10">
        <f t="shared" si="2"/>
        <v>0</v>
      </c>
      <c r="L19" s="11">
        <v>0.75</v>
      </c>
      <c r="M19" s="12">
        <v>0.05</v>
      </c>
      <c r="N19" s="13">
        <f t="shared" si="3"/>
        <v>-79950</v>
      </c>
      <c r="O19" s="13">
        <f t="shared" si="4"/>
        <v>75000</v>
      </c>
      <c r="P19" s="12">
        <v>0.15</v>
      </c>
      <c r="Q19" s="10">
        <f t="shared" si="5"/>
        <v>20244.375</v>
      </c>
      <c r="R19" s="10">
        <f t="shared" si="6"/>
        <v>-8994.375</v>
      </c>
      <c r="S19" s="10">
        <f t="shared" si="7"/>
        <v>0</v>
      </c>
    </row>
    <row r="20" spans="1:19" s="8" customFormat="1" x14ac:dyDescent="0.35">
      <c r="A20" s="8" t="s">
        <v>180</v>
      </c>
      <c r="B20" s="21" t="s">
        <v>232</v>
      </c>
      <c r="C20" s="21" t="s">
        <v>357</v>
      </c>
      <c r="D20" s="26" t="s">
        <v>245</v>
      </c>
      <c r="E20" s="26"/>
      <c r="F20" s="9">
        <v>45441</v>
      </c>
      <c r="G20" s="10">
        <v>0</v>
      </c>
      <c r="H20" s="10">
        <v>0</v>
      </c>
      <c r="I20" s="10">
        <v>0</v>
      </c>
      <c r="J20" s="10">
        <f t="shared" si="1"/>
        <v>0</v>
      </c>
      <c r="K20" s="10">
        <f t="shared" si="2"/>
        <v>0</v>
      </c>
      <c r="L20" s="11">
        <v>0.75</v>
      </c>
      <c r="M20" s="12">
        <v>0.05</v>
      </c>
      <c r="N20" s="13">
        <f t="shared" si="3"/>
        <v>0</v>
      </c>
      <c r="O20" s="13">
        <f t="shared" si="4"/>
        <v>0</v>
      </c>
      <c r="P20" s="12">
        <v>0.15</v>
      </c>
      <c r="Q20" s="10">
        <f>I20*L20*M20*P20</f>
        <v>0</v>
      </c>
      <c r="R20" s="10">
        <f>J20*L20*M20*P20</f>
        <v>0</v>
      </c>
      <c r="S20" s="10">
        <f>K20*L20*M20*P20</f>
        <v>0</v>
      </c>
    </row>
    <row r="21" spans="1:19" s="8" customFormat="1" x14ac:dyDescent="0.35">
      <c r="A21" s="18" t="s">
        <v>162</v>
      </c>
      <c r="B21" s="21" t="s">
        <v>232</v>
      </c>
      <c r="C21" s="21" t="s">
        <v>357</v>
      </c>
      <c r="D21" s="24">
        <f t="shared" si="0"/>
        <v>0</v>
      </c>
      <c r="E21" s="24"/>
      <c r="F21" s="9">
        <v>45442</v>
      </c>
      <c r="G21" s="10">
        <v>60000</v>
      </c>
      <c r="H21" s="10">
        <v>60000</v>
      </c>
      <c r="I21" s="10">
        <v>60000</v>
      </c>
      <c r="J21" s="10">
        <f t="shared" si="1"/>
        <v>0</v>
      </c>
      <c r="K21" s="10">
        <f t="shared" si="2"/>
        <v>0</v>
      </c>
      <c r="L21" s="11">
        <v>1</v>
      </c>
      <c r="M21" s="12">
        <v>0.1</v>
      </c>
      <c r="N21" s="13">
        <f t="shared" si="3"/>
        <v>0</v>
      </c>
      <c r="O21" s="13">
        <f t="shared" si="4"/>
        <v>6000</v>
      </c>
      <c r="P21" s="12">
        <v>0.15</v>
      </c>
      <c r="Q21" s="10">
        <f t="shared" si="5"/>
        <v>900</v>
      </c>
      <c r="R21" s="10">
        <f t="shared" si="6"/>
        <v>0</v>
      </c>
      <c r="S21" s="10">
        <f t="shared" si="7"/>
        <v>0</v>
      </c>
    </row>
    <row r="22" spans="1:19" s="8" customFormat="1" x14ac:dyDescent="0.35">
      <c r="A22" s="8" t="s">
        <v>166</v>
      </c>
      <c r="B22" s="21" t="s">
        <v>238</v>
      </c>
      <c r="C22" s="21" t="s">
        <v>358</v>
      </c>
      <c r="D22" s="26" t="s">
        <v>245</v>
      </c>
      <c r="E22" s="26"/>
      <c r="F22" s="9">
        <v>45443</v>
      </c>
      <c r="G22" s="10">
        <v>200000</v>
      </c>
      <c r="H22" s="10">
        <v>0</v>
      </c>
      <c r="I22" s="10">
        <v>0</v>
      </c>
      <c r="J22" s="10">
        <f t="shared" si="1"/>
        <v>200000</v>
      </c>
      <c r="K22" s="10">
        <f t="shared" si="2"/>
        <v>0</v>
      </c>
      <c r="L22" s="11">
        <v>0.75</v>
      </c>
      <c r="M22" s="12">
        <v>0.08</v>
      </c>
      <c r="N22" s="13">
        <f t="shared" si="3"/>
        <v>16000</v>
      </c>
      <c r="O22" s="13">
        <f t="shared" si="4"/>
        <v>12000</v>
      </c>
      <c r="P22" s="12">
        <v>0.15</v>
      </c>
      <c r="Q22" s="10">
        <f t="shared" si="5"/>
        <v>0</v>
      </c>
      <c r="R22" s="10">
        <f t="shared" si="6"/>
        <v>1800</v>
      </c>
      <c r="S22" s="10">
        <f t="shared" si="7"/>
        <v>0</v>
      </c>
    </row>
    <row r="23" spans="1:19" s="8" customFormat="1" x14ac:dyDescent="0.35">
      <c r="A23" s="8" t="s">
        <v>163</v>
      </c>
      <c r="B23" s="21" t="s">
        <v>237</v>
      </c>
      <c r="C23" s="21" t="s">
        <v>358</v>
      </c>
      <c r="D23" s="26" t="s">
        <v>245</v>
      </c>
      <c r="E23" s="26"/>
      <c r="F23" s="9">
        <v>45447</v>
      </c>
      <c r="G23" s="10">
        <v>0</v>
      </c>
      <c r="H23" s="10">
        <v>0</v>
      </c>
      <c r="I23" s="10">
        <v>0</v>
      </c>
      <c r="J23" s="10">
        <f t="shared" si="1"/>
        <v>0</v>
      </c>
      <c r="K23" s="10">
        <f t="shared" si="2"/>
        <v>0</v>
      </c>
      <c r="L23" s="11">
        <v>1</v>
      </c>
      <c r="M23" s="12">
        <v>7.0000000000000007E-2</v>
      </c>
      <c r="N23" s="13">
        <f t="shared" si="3"/>
        <v>0</v>
      </c>
      <c r="O23" s="13">
        <f t="shared" si="4"/>
        <v>0</v>
      </c>
      <c r="P23" s="12">
        <v>0.15</v>
      </c>
      <c r="Q23" s="10">
        <f t="shared" si="5"/>
        <v>0</v>
      </c>
      <c r="R23" s="10">
        <f t="shared" si="6"/>
        <v>0</v>
      </c>
      <c r="S23" s="10">
        <f t="shared" si="7"/>
        <v>0</v>
      </c>
    </row>
    <row r="24" spans="1:19" s="8" customFormat="1" x14ac:dyDescent="0.35">
      <c r="A24" s="8" t="s">
        <v>164</v>
      </c>
      <c r="B24" s="21" t="s">
        <v>234</v>
      </c>
      <c r="C24" s="21" t="s">
        <v>357</v>
      </c>
      <c r="D24" s="27">
        <f t="shared" si="0"/>
        <v>-25</v>
      </c>
      <c r="E24" s="27"/>
      <c r="F24" s="9">
        <v>45448</v>
      </c>
      <c r="G24" s="10">
        <v>600000</v>
      </c>
      <c r="H24" s="10">
        <v>450000</v>
      </c>
      <c r="I24" s="10">
        <v>442000</v>
      </c>
      <c r="J24" s="10">
        <f t="shared" si="1"/>
        <v>158000</v>
      </c>
      <c r="K24" s="10">
        <f t="shared" si="2"/>
        <v>8000</v>
      </c>
      <c r="L24" s="11">
        <v>1</v>
      </c>
      <c r="M24" s="12">
        <v>7.0000000000000007E-2</v>
      </c>
      <c r="N24" s="13">
        <f t="shared" si="3"/>
        <v>11060.000000000002</v>
      </c>
      <c r="O24" s="13">
        <f t="shared" si="4"/>
        <v>42000.000000000007</v>
      </c>
      <c r="P24" s="12">
        <v>0.15</v>
      </c>
      <c r="Q24" s="10">
        <f t="shared" si="5"/>
        <v>4641</v>
      </c>
      <c r="R24" s="10">
        <f t="shared" si="6"/>
        <v>1659.0000000000002</v>
      </c>
      <c r="S24" s="10">
        <f t="shared" si="7"/>
        <v>84</v>
      </c>
    </row>
    <row r="25" spans="1:19" s="8" customFormat="1" x14ac:dyDescent="0.35">
      <c r="A25" s="8" t="s">
        <v>165</v>
      </c>
      <c r="B25" s="21" t="s">
        <v>240</v>
      </c>
      <c r="C25" s="21" t="s">
        <v>358</v>
      </c>
      <c r="D25" s="24">
        <v>0</v>
      </c>
      <c r="E25" s="24"/>
      <c r="F25" s="9">
        <v>45425</v>
      </c>
      <c r="G25" s="10">
        <v>100000</v>
      </c>
      <c r="H25" s="10">
        <v>0</v>
      </c>
      <c r="I25" s="10">
        <v>0</v>
      </c>
      <c r="J25" s="10">
        <f t="shared" si="1"/>
        <v>100000</v>
      </c>
      <c r="K25" s="10">
        <f t="shared" si="2"/>
        <v>0</v>
      </c>
      <c r="L25" s="11">
        <v>0.75</v>
      </c>
      <c r="M25" s="12">
        <v>0.1</v>
      </c>
      <c r="N25" s="13">
        <f t="shared" si="3"/>
        <v>10000</v>
      </c>
      <c r="O25" s="13">
        <f t="shared" si="4"/>
        <v>7500</v>
      </c>
      <c r="P25" s="12">
        <v>0.15</v>
      </c>
      <c r="Q25" s="10">
        <f t="shared" si="5"/>
        <v>0</v>
      </c>
      <c r="R25" s="10">
        <f t="shared" si="6"/>
        <v>1125</v>
      </c>
      <c r="S25" s="10">
        <f t="shared" si="7"/>
        <v>0</v>
      </c>
    </row>
    <row r="26" spans="1:19" s="8" customFormat="1" x14ac:dyDescent="0.35">
      <c r="A26" s="8" t="s">
        <v>173</v>
      </c>
      <c r="B26" s="21" t="s">
        <v>232</v>
      </c>
      <c r="C26" s="21" t="s">
        <v>357</v>
      </c>
      <c r="D26" s="25">
        <f t="shared" si="0"/>
        <v>90</v>
      </c>
      <c r="E26" s="25"/>
      <c r="F26" s="9">
        <v>45453</v>
      </c>
      <c r="G26" s="10">
        <v>150000</v>
      </c>
      <c r="H26" s="10">
        <v>285000</v>
      </c>
      <c r="I26" s="10">
        <v>285000</v>
      </c>
      <c r="J26" s="10">
        <f t="shared" si="1"/>
        <v>-135000</v>
      </c>
      <c r="K26" s="10">
        <f t="shared" si="2"/>
        <v>0</v>
      </c>
      <c r="L26" s="11">
        <v>0.75</v>
      </c>
      <c r="M26" s="12">
        <v>0.1</v>
      </c>
      <c r="N26" s="13">
        <f t="shared" si="3"/>
        <v>-13500</v>
      </c>
      <c r="O26" s="13">
        <f t="shared" si="4"/>
        <v>11250</v>
      </c>
      <c r="P26" s="12">
        <v>0.15</v>
      </c>
      <c r="Q26" s="10">
        <f t="shared" si="5"/>
        <v>3206.25</v>
      </c>
      <c r="R26" s="10">
        <f t="shared" si="6"/>
        <v>-1518.75</v>
      </c>
      <c r="S26" s="10">
        <f t="shared" si="7"/>
        <v>0</v>
      </c>
    </row>
    <row r="27" spans="1:19" s="8" customFormat="1" x14ac:dyDescent="0.35">
      <c r="A27" s="8" t="s">
        <v>174</v>
      </c>
      <c r="B27" s="21" t="s">
        <v>248</v>
      </c>
      <c r="C27" s="21" t="s">
        <v>358</v>
      </c>
      <c r="D27" s="26" t="s">
        <v>245</v>
      </c>
      <c r="E27" s="26"/>
      <c r="F27" s="9">
        <v>45453</v>
      </c>
      <c r="G27" s="10">
        <v>0</v>
      </c>
      <c r="H27" s="10">
        <v>0</v>
      </c>
      <c r="I27" s="10">
        <v>0</v>
      </c>
      <c r="J27" s="10">
        <f t="shared" si="1"/>
        <v>0</v>
      </c>
      <c r="K27" s="10">
        <f t="shared" si="2"/>
        <v>0</v>
      </c>
      <c r="L27" s="11">
        <v>0.75</v>
      </c>
      <c r="M27" s="12">
        <v>7.0000000000000007E-2</v>
      </c>
      <c r="N27" s="13">
        <f t="shared" si="3"/>
        <v>0</v>
      </c>
      <c r="O27" s="13">
        <f t="shared" si="4"/>
        <v>0</v>
      </c>
      <c r="P27" s="12">
        <v>0.15</v>
      </c>
      <c r="Q27" s="10">
        <f t="shared" si="5"/>
        <v>0</v>
      </c>
      <c r="R27" s="10">
        <f t="shared" si="6"/>
        <v>0</v>
      </c>
      <c r="S27" s="10">
        <f t="shared" si="7"/>
        <v>0</v>
      </c>
    </row>
    <row r="28" spans="1:19" s="8" customFormat="1" x14ac:dyDescent="0.35">
      <c r="A28" s="8" t="s">
        <v>175</v>
      </c>
      <c r="B28" s="21" t="s">
        <v>234</v>
      </c>
      <c r="C28" s="21" t="s">
        <v>357</v>
      </c>
      <c r="D28" s="24">
        <f t="shared" si="0"/>
        <v>12.5</v>
      </c>
      <c r="E28" s="24"/>
      <c r="F28" s="9">
        <v>45461</v>
      </c>
      <c r="G28" s="10">
        <v>800000</v>
      </c>
      <c r="H28" s="10">
        <v>900000</v>
      </c>
      <c r="I28" s="10">
        <v>779000</v>
      </c>
      <c r="J28" s="10">
        <f t="shared" si="1"/>
        <v>21000</v>
      </c>
      <c r="K28" s="10">
        <f t="shared" si="2"/>
        <v>121000</v>
      </c>
      <c r="L28" s="11">
        <v>0.5</v>
      </c>
      <c r="M28" s="12">
        <v>0.08</v>
      </c>
      <c r="N28" s="13">
        <f t="shared" si="3"/>
        <v>1680</v>
      </c>
      <c r="O28" s="13">
        <f t="shared" si="4"/>
        <v>32000</v>
      </c>
      <c r="P28" s="12">
        <v>0.15</v>
      </c>
      <c r="Q28" s="10">
        <f t="shared" si="5"/>
        <v>4674</v>
      </c>
      <c r="R28" s="10">
        <f t="shared" si="6"/>
        <v>126</v>
      </c>
      <c r="S28" s="10">
        <f t="shared" si="7"/>
        <v>726</v>
      </c>
    </row>
    <row r="29" spans="1:19" s="8" customFormat="1" x14ac:dyDescent="0.35">
      <c r="A29" s="8" t="s">
        <v>175</v>
      </c>
      <c r="B29" s="21" t="s">
        <v>234</v>
      </c>
      <c r="C29" s="21" t="s">
        <v>357</v>
      </c>
      <c r="D29" s="24" t="s">
        <v>250</v>
      </c>
      <c r="E29" s="24"/>
      <c r="F29" s="9">
        <v>45461</v>
      </c>
      <c r="G29" s="10">
        <v>0</v>
      </c>
      <c r="H29" s="10">
        <v>0</v>
      </c>
      <c r="I29" s="10">
        <v>0</v>
      </c>
      <c r="J29" s="10">
        <v>0</v>
      </c>
      <c r="K29" s="10">
        <f t="shared" si="2"/>
        <v>0</v>
      </c>
      <c r="L29" s="11">
        <v>0.5</v>
      </c>
      <c r="M29" s="12">
        <v>0.08</v>
      </c>
      <c r="N29" s="13">
        <f t="shared" si="3"/>
        <v>0</v>
      </c>
      <c r="O29" s="13">
        <f t="shared" si="4"/>
        <v>0</v>
      </c>
      <c r="P29" s="12">
        <v>0.15</v>
      </c>
      <c r="Q29" s="10">
        <f t="shared" si="5"/>
        <v>0</v>
      </c>
      <c r="R29" s="10">
        <f t="shared" si="6"/>
        <v>0</v>
      </c>
      <c r="S29" s="10">
        <f t="shared" si="7"/>
        <v>0</v>
      </c>
    </row>
    <row r="30" spans="1:19" s="8" customFormat="1" x14ac:dyDescent="0.35">
      <c r="A30" s="8" t="s">
        <v>176</v>
      </c>
      <c r="B30" s="21" t="s">
        <v>238</v>
      </c>
      <c r="C30" s="21" t="s">
        <v>358</v>
      </c>
      <c r="D30" s="24">
        <f t="shared" si="0"/>
        <v>0</v>
      </c>
      <c r="E30" s="24"/>
      <c r="F30" s="9">
        <v>45461</v>
      </c>
      <c r="G30" s="10">
        <v>420000</v>
      </c>
      <c r="H30" s="10">
        <v>420000</v>
      </c>
      <c r="I30" s="10">
        <v>420000</v>
      </c>
      <c r="J30" s="10">
        <v>350000</v>
      </c>
      <c r="K30" s="10">
        <f t="shared" si="2"/>
        <v>0</v>
      </c>
      <c r="L30" s="11">
        <v>1</v>
      </c>
      <c r="M30" s="12">
        <v>0.1</v>
      </c>
      <c r="N30" s="13">
        <f t="shared" si="3"/>
        <v>35000</v>
      </c>
      <c r="O30" s="13">
        <f t="shared" si="4"/>
        <v>42000</v>
      </c>
      <c r="P30" s="12">
        <v>0.15</v>
      </c>
      <c r="Q30" s="10">
        <f t="shared" si="5"/>
        <v>6300</v>
      </c>
      <c r="R30" s="10">
        <f t="shared" si="6"/>
        <v>5250</v>
      </c>
      <c r="S30" s="10">
        <f t="shared" si="7"/>
        <v>0</v>
      </c>
    </row>
    <row r="31" spans="1:19" s="8" customFormat="1" x14ac:dyDescent="0.35">
      <c r="A31" s="8" t="s">
        <v>177</v>
      </c>
      <c r="B31" s="21" t="s">
        <v>238</v>
      </c>
      <c r="C31" s="21" t="s">
        <v>358</v>
      </c>
      <c r="D31" s="24">
        <f t="shared" si="0"/>
        <v>0</v>
      </c>
      <c r="E31" s="24"/>
      <c r="F31" s="9">
        <v>45462</v>
      </c>
      <c r="G31" s="10">
        <v>400000</v>
      </c>
      <c r="H31" s="10">
        <v>400000</v>
      </c>
      <c r="I31" s="10">
        <v>400000</v>
      </c>
      <c r="J31" s="10">
        <f t="shared" si="1"/>
        <v>0</v>
      </c>
      <c r="K31" s="10">
        <f t="shared" si="2"/>
        <v>0</v>
      </c>
      <c r="L31" s="11">
        <v>1</v>
      </c>
      <c r="M31" s="12">
        <v>7.0000000000000007E-2</v>
      </c>
      <c r="N31" s="13">
        <f t="shared" si="3"/>
        <v>0</v>
      </c>
      <c r="O31" s="13">
        <f t="shared" si="4"/>
        <v>28000.000000000004</v>
      </c>
      <c r="P31" s="12">
        <v>0.15</v>
      </c>
      <c r="Q31" s="10">
        <f t="shared" si="5"/>
        <v>4200</v>
      </c>
      <c r="R31" s="10">
        <f t="shared" si="6"/>
        <v>0</v>
      </c>
      <c r="S31" s="10">
        <f t="shared" si="7"/>
        <v>0</v>
      </c>
    </row>
    <row r="32" spans="1:19" s="8" customFormat="1" x14ac:dyDescent="0.35">
      <c r="A32" s="8" t="s">
        <v>178</v>
      </c>
      <c r="B32" s="21" t="s">
        <v>232</v>
      </c>
      <c r="C32" s="21" t="s">
        <v>357</v>
      </c>
      <c r="D32" s="25">
        <f t="shared" si="0"/>
        <v>88.333333333333329</v>
      </c>
      <c r="E32" s="25"/>
      <c r="F32" s="9">
        <v>45478</v>
      </c>
      <c r="G32" s="10">
        <v>120000</v>
      </c>
      <c r="H32" s="10">
        <v>226000</v>
      </c>
      <c r="I32" s="10">
        <v>226000</v>
      </c>
      <c r="J32" s="10">
        <f t="shared" si="1"/>
        <v>-106000</v>
      </c>
      <c r="K32" s="10">
        <f t="shared" si="2"/>
        <v>0</v>
      </c>
      <c r="L32" s="11">
        <v>1</v>
      </c>
      <c r="M32" s="12">
        <v>0.1</v>
      </c>
      <c r="N32" s="13">
        <f t="shared" si="3"/>
        <v>-10600</v>
      </c>
      <c r="O32" s="13">
        <f t="shared" si="4"/>
        <v>12000</v>
      </c>
      <c r="P32" s="12">
        <v>0.2</v>
      </c>
      <c r="Q32" s="10">
        <f t="shared" si="5"/>
        <v>4520</v>
      </c>
      <c r="R32" s="10">
        <f t="shared" si="6"/>
        <v>-2120</v>
      </c>
      <c r="S32" s="10">
        <f t="shared" si="7"/>
        <v>0</v>
      </c>
    </row>
    <row r="33" spans="1:19" s="8" customFormat="1" x14ac:dyDescent="0.35">
      <c r="A33" s="23" t="s">
        <v>249</v>
      </c>
      <c r="B33" s="21" t="s">
        <v>234</v>
      </c>
      <c r="C33" s="21" t="s">
        <v>358</v>
      </c>
      <c r="D33" s="26" t="s">
        <v>245</v>
      </c>
      <c r="E33" s="26"/>
      <c r="F33" s="9">
        <v>45485</v>
      </c>
      <c r="G33" s="10">
        <v>0</v>
      </c>
      <c r="H33" s="10">
        <v>0</v>
      </c>
      <c r="I33" s="10">
        <v>0</v>
      </c>
      <c r="J33" s="10">
        <f t="shared" si="1"/>
        <v>0</v>
      </c>
      <c r="K33" s="10">
        <f t="shared" si="2"/>
        <v>0</v>
      </c>
      <c r="L33" s="11">
        <v>0.75</v>
      </c>
      <c r="M33" s="12">
        <v>0.1</v>
      </c>
      <c r="N33" s="13">
        <f t="shared" si="3"/>
        <v>0</v>
      </c>
      <c r="O33" s="13">
        <f t="shared" si="4"/>
        <v>0</v>
      </c>
      <c r="P33" s="12">
        <v>0.2</v>
      </c>
      <c r="Q33" s="10">
        <f t="shared" si="5"/>
        <v>0</v>
      </c>
      <c r="R33" s="10">
        <f t="shared" si="6"/>
        <v>0</v>
      </c>
      <c r="S33" s="10">
        <f t="shared" si="7"/>
        <v>0</v>
      </c>
    </row>
    <row r="34" spans="1:19" s="8" customFormat="1" x14ac:dyDescent="0.35">
      <c r="A34" s="8" t="s">
        <v>179</v>
      </c>
      <c r="B34" s="21" t="s">
        <v>238</v>
      </c>
      <c r="C34" s="21" t="s">
        <v>358</v>
      </c>
      <c r="D34" s="24">
        <f t="shared" si="0"/>
        <v>0</v>
      </c>
      <c r="E34" s="24"/>
      <c r="F34" s="9">
        <v>45489</v>
      </c>
      <c r="G34" s="10">
        <v>300000</v>
      </c>
      <c r="H34" s="10">
        <v>300000</v>
      </c>
      <c r="I34" s="10">
        <v>300000</v>
      </c>
      <c r="J34" s="10">
        <f t="shared" si="1"/>
        <v>0</v>
      </c>
      <c r="K34" s="10">
        <f t="shared" si="2"/>
        <v>0</v>
      </c>
      <c r="L34" s="11">
        <v>1</v>
      </c>
      <c r="M34" s="12">
        <v>0.1</v>
      </c>
      <c r="N34" s="13">
        <f t="shared" si="3"/>
        <v>0</v>
      </c>
      <c r="O34" s="13">
        <f t="shared" si="4"/>
        <v>30000</v>
      </c>
      <c r="P34" s="12">
        <v>0.2</v>
      </c>
      <c r="Q34" s="10">
        <f t="shared" si="5"/>
        <v>6000</v>
      </c>
      <c r="R34" s="10">
        <f t="shared" si="6"/>
        <v>0</v>
      </c>
      <c r="S34" s="10">
        <f t="shared" si="7"/>
        <v>0</v>
      </c>
    </row>
    <row r="35" spans="1:19" s="8" customFormat="1" x14ac:dyDescent="0.35">
      <c r="A35" s="8" t="s">
        <v>181</v>
      </c>
      <c r="B35" s="21" t="s">
        <v>244</v>
      </c>
      <c r="C35" s="21" t="s">
        <v>358</v>
      </c>
      <c r="D35" s="26" t="s">
        <v>245</v>
      </c>
      <c r="E35" s="26"/>
      <c r="F35" s="9">
        <v>45499</v>
      </c>
      <c r="G35" s="10">
        <v>0</v>
      </c>
      <c r="H35" s="10">
        <v>0</v>
      </c>
      <c r="I35" s="10">
        <v>0</v>
      </c>
      <c r="J35" s="10">
        <f t="shared" si="1"/>
        <v>0</v>
      </c>
      <c r="K35" s="10">
        <f t="shared" si="2"/>
        <v>0</v>
      </c>
      <c r="L35" s="11">
        <v>1</v>
      </c>
      <c r="M35" s="12">
        <v>0.1</v>
      </c>
      <c r="N35" s="13">
        <f t="shared" si="3"/>
        <v>0</v>
      </c>
      <c r="O35" s="13">
        <f t="shared" si="4"/>
        <v>0</v>
      </c>
      <c r="P35" s="12">
        <v>0.2</v>
      </c>
      <c r="Q35" s="10">
        <f>I35*L35*M35*P35</f>
        <v>0</v>
      </c>
      <c r="R35" s="10">
        <f t="shared" si="6"/>
        <v>0</v>
      </c>
      <c r="S35" s="10">
        <f t="shared" si="7"/>
        <v>0</v>
      </c>
    </row>
    <row r="36" spans="1:19" s="8" customFormat="1" x14ac:dyDescent="0.35">
      <c r="A36" s="8" t="s">
        <v>183</v>
      </c>
      <c r="B36" s="21" t="s">
        <v>232</v>
      </c>
      <c r="C36" s="21" t="s">
        <v>357</v>
      </c>
      <c r="D36" s="26" t="s">
        <v>245</v>
      </c>
      <c r="E36" s="26"/>
      <c r="F36" s="9">
        <v>45516</v>
      </c>
      <c r="G36" s="10">
        <v>0</v>
      </c>
      <c r="H36" s="10">
        <v>0</v>
      </c>
      <c r="I36" s="10">
        <v>0</v>
      </c>
      <c r="J36" s="10">
        <f t="shared" si="1"/>
        <v>0</v>
      </c>
      <c r="K36" s="10">
        <f t="shared" si="2"/>
        <v>0</v>
      </c>
      <c r="L36" s="11">
        <v>1</v>
      </c>
      <c r="M36" s="12">
        <v>0.1</v>
      </c>
      <c r="N36" s="13">
        <f>J36*M36</f>
        <v>0</v>
      </c>
      <c r="O36" s="13">
        <f>L36*G36*M36</f>
        <v>0</v>
      </c>
      <c r="P36" s="12">
        <v>0.2</v>
      </c>
      <c r="Q36" s="10">
        <f>I36*L36*M36*P36</f>
        <v>0</v>
      </c>
      <c r="R36" s="10">
        <f>J36*L36*M36*P36</f>
        <v>0</v>
      </c>
      <c r="S36" s="10">
        <f>K36*L36*M36*P36</f>
        <v>0</v>
      </c>
    </row>
    <row r="37" spans="1:19" s="8" customFormat="1" x14ac:dyDescent="0.35">
      <c r="A37" s="8" t="s">
        <v>182</v>
      </c>
      <c r="B37" s="21" t="s">
        <v>232</v>
      </c>
      <c r="C37" s="21" t="s">
        <v>357</v>
      </c>
      <c r="D37" s="25">
        <f t="shared" si="0"/>
        <v>68</v>
      </c>
      <c r="E37" s="25"/>
      <c r="F37" s="9">
        <v>45518</v>
      </c>
      <c r="G37" s="10">
        <v>350000</v>
      </c>
      <c r="H37" s="10">
        <v>588000</v>
      </c>
      <c r="I37" s="10">
        <v>588000</v>
      </c>
      <c r="J37" s="10">
        <f t="shared" si="1"/>
        <v>-238000</v>
      </c>
      <c r="K37" s="10">
        <f t="shared" si="2"/>
        <v>0</v>
      </c>
      <c r="L37" s="11">
        <v>1</v>
      </c>
      <c r="M37" s="12">
        <v>0.1</v>
      </c>
      <c r="N37" s="13">
        <f t="shared" si="3"/>
        <v>-23800</v>
      </c>
      <c r="O37" s="13">
        <f t="shared" si="4"/>
        <v>35000</v>
      </c>
      <c r="P37" s="12">
        <v>0.2</v>
      </c>
      <c r="Q37" s="10">
        <f t="shared" si="5"/>
        <v>11760</v>
      </c>
      <c r="R37" s="10">
        <f t="shared" si="6"/>
        <v>-4760</v>
      </c>
      <c r="S37" s="10">
        <f t="shared" si="7"/>
        <v>0</v>
      </c>
    </row>
    <row r="38" spans="1:19" s="8" customFormat="1" x14ac:dyDescent="0.35">
      <c r="A38" s="8" t="s">
        <v>184</v>
      </c>
      <c r="B38" s="21" t="s">
        <v>232</v>
      </c>
      <c r="C38" s="21" t="s">
        <v>357</v>
      </c>
      <c r="D38" s="25">
        <f t="shared" si="0"/>
        <v>184.75</v>
      </c>
      <c r="E38" s="25"/>
      <c r="F38" s="9">
        <v>45541</v>
      </c>
      <c r="G38" s="10">
        <v>200000</v>
      </c>
      <c r="H38" s="10">
        <v>569500</v>
      </c>
      <c r="I38" s="10">
        <v>485500</v>
      </c>
      <c r="J38" s="10">
        <f t="shared" si="1"/>
        <v>-285500</v>
      </c>
      <c r="K38" s="10">
        <f t="shared" si="2"/>
        <v>84000</v>
      </c>
      <c r="L38" s="11">
        <v>1</v>
      </c>
      <c r="M38" s="12">
        <v>0.1</v>
      </c>
      <c r="N38" s="13">
        <f t="shared" si="3"/>
        <v>-28550</v>
      </c>
      <c r="O38" s="13">
        <f t="shared" si="4"/>
        <v>20000</v>
      </c>
      <c r="P38" s="12">
        <v>0.2</v>
      </c>
      <c r="Q38" s="10">
        <f t="shared" si="5"/>
        <v>9710</v>
      </c>
      <c r="R38" s="10">
        <f t="shared" si="6"/>
        <v>-5710</v>
      </c>
      <c r="S38" s="10">
        <f t="shared" si="7"/>
        <v>1680</v>
      </c>
    </row>
    <row r="39" spans="1:19" s="8" customFormat="1" x14ac:dyDescent="0.35">
      <c r="A39" s="8" t="s">
        <v>185</v>
      </c>
      <c r="B39" s="21" t="s">
        <v>232</v>
      </c>
      <c r="C39" s="21" t="s">
        <v>357</v>
      </c>
      <c r="D39" s="27">
        <f t="shared" si="0"/>
        <v>-6.666666666666667</v>
      </c>
      <c r="E39" s="27"/>
      <c r="F39" s="9">
        <v>45545</v>
      </c>
      <c r="G39" s="10">
        <v>75000</v>
      </c>
      <c r="H39" s="10">
        <v>70000</v>
      </c>
      <c r="I39" s="10">
        <v>70000</v>
      </c>
      <c r="J39" s="10">
        <f t="shared" si="1"/>
        <v>5000</v>
      </c>
      <c r="K39" s="10">
        <f t="shared" si="2"/>
        <v>0</v>
      </c>
      <c r="L39" s="11">
        <v>1</v>
      </c>
      <c r="M39" s="12">
        <v>0.1</v>
      </c>
      <c r="N39" s="13">
        <f t="shared" si="3"/>
        <v>500</v>
      </c>
      <c r="O39" s="13">
        <f t="shared" si="4"/>
        <v>7500</v>
      </c>
      <c r="P39" s="12">
        <v>0.2</v>
      </c>
      <c r="Q39" s="10">
        <f t="shared" si="5"/>
        <v>1400</v>
      </c>
      <c r="R39" s="10">
        <f t="shared" si="6"/>
        <v>100</v>
      </c>
      <c r="S39" s="10">
        <f t="shared" si="7"/>
        <v>0</v>
      </c>
    </row>
    <row r="40" spans="1:19" s="8" customFormat="1" x14ac:dyDescent="0.35">
      <c r="A40" s="8" t="s">
        <v>186</v>
      </c>
      <c r="B40" s="21" t="s">
        <v>232</v>
      </c>
      <c r="C40" s="21" t="s">
        <v>357</v>
      </c>
      <c r="D40" s="25">
        <f t="shared" si="0"/>
        <v>49.333333333333336</v>
      </c>
      <c r="E40" s="25"/>
      <c r="F40" s="9">
        <v>45553</v>
      </c>
      <c r="G40" s="10">
        <v>150000</v>
      </c>
      <c r="H40" s="10">
        <v>224000</v>
      </c>
      <c r="I40" s="10">
        <v>170000</v>
      </c>
      <c r="J40" s="10">
        <f t="shared" si="1"/>
        <v>-20000</v>
      </c>
      <c r="K40" s="10">
        <f t="shared" si="2"/>
        <v>54000</v>
      </c>
      <c r="L40" s="11">
        <v>1</v>
      </c>
      <c r="M40" s="12">
        <v>0.1</v>
      </c>
      <c r="N40" s="13">
        <f t="shared" si="3"/>
        <v>-2000</v>
      </c>
      <c r="O40" s="13">
        <f t="shared" si="4"/>
        <v>15000</v>
      </c>
      <c r="P40" s="12">
        <v>0.2</v>
      </c>
      <c r="Q40" s="10">
        <f t="shared" si="5"/>
        <v>3400</v>
      </c>
      <c r="R40" s="10">
        <f t="shared" si="6"/>
        <v>-400</v>
      </c>
      <c r="S40" s="10">
        <f t="shared" si="7"/>
        <v>1080</v>
      </c>
    </row>
    <row r="41" spans="1:19" s="8" customFormat="1" x14ac:dyDescent="0.35">
      <c r="A41" s="8" t="s">
        <v>187</v>
      </c>
      <c r="B41" s="21" t="s">
        <v>234</v>
      </c>
      <c r="C41" s="21" t="s">
        <v>357</v>
      </c>
      <c r="D41" s="25">
        <f t="shared" si="0"/>
        <v>926.66666666666674</v>
      </c>
      <c r="E41" s="25"/>
      <c r="F41" s="9">
        <v>45559</v>
      </c>
      <c r="G41" s="10">
        <v>75000</v>
      </c>
      <c r="H41" s="10">
        <v>770000</v>
      </c>
      <c r="I41" s="10">
        <v>770000</v>
      </c>
      <c r="J41" s="10">
        <f t="shared" si="1"/>
        <v>-695000</v>
      </c>
      <c r="K41" s="10">
        <f t="shared" si="2"/>
        <v>0</v>
      </c>
      <c r="L41" s="11">
        <v>1</v>
      </c>
      <c r="M41" s="12">
        <v>0.08</v>
      </c>
      <c r="N41" s="13">
        <f t="shared" si="3"/>
        <v>-55600</v>
      </c>
      <c r="O41" s="13">
        <f t="shared" si="4"/>
        <v>6000</v>
      </c>
      <c r="P41" s="12">
        <v>0.2</v>
      </c>
      <c r="Q41" s="10">
        <f t="shared" si="5"/>
        <v>12320</v>
      </c>
      <c r="R41" s="10">
        <f t="shared" si="6"/>
        <v>-11120</v>
      </c>
      <c r="S41" s="10">
        <f t="shared" si="7"/>
        <v>0</v>
      </c>
    </row>
    <row r="42" spans="1:19" s="8" customFormat="1" x14ac:dyDescent="0.35">
      <c r="A42" s="8" t="s">
        <v>188</v>
      </c>
      <c r="B42" s="21" t="s">
        <v>232</v>
      </c>
      <c r="C42" s="21" t="s">
        <v>357</v>
      </c>
      <c r="D42" s="25">
        <f t="shared" si="0"/>
        <v>200</v>
      </c>
      <c r="E42" s="25"/>
      <c r="F42" s="9">
        <v>45559</v>
      </c>
      <c r="G42" s="10">
        <v>200000</v>
      </c>
      <c r="H42" s="10">
        <v>600000</v>
      </c>
      <c r="I42" s="10">
        <v>100000</v>
      </c>
      <c r="J42" s="10">
        <f t="shared" si="1"/>
        <v>100000</v>
      </c>
      <c r="K42" s="10">
        <f t="shared" si="2"/>
        <v>500000</v>
      </c>
      <c r="L42" s="11">
        <v>1</v>
      </c>
      <c r="M42" s="12">
        <v>0.1</v>
      </c>
      <c r="N42" s="13">
        <f t="shared" si="3"/>
        <v>10000</v>
      </c>
      <c r="O42" s="13">
        <f t="shared" si="4"/>
        <v>20000</v>
      </c>
      <c r="P42" s="12">
        <v>0.2</v>
      </c>
      <c r="Q42" s="10">
        <f t="shared" si="5"/>
        <v>2000</v>
      </c>
      <c r="R42" s="10">
        <f t="shared" si="6"/>
        <v>2000</v>
      </c>
      <c r="S42" s="10">
        <f t="shared" si="7"/>
        <v>10000</v>
      </c>
    </row>
    <row r="43" spans="1:19" s="8" customFormat="1" x14ac:dyDescent="0.35">
      <c r="A43" s="8" t="s">
        <v>189</v>
      </c>
      <c r="B43" s="21" t="s">
        <v>248</v>
      </c>
      <c r="C43" s="21" t="s">
        <v>358</v>
      </c>
      <c r="D43" s="26" t="s">
        <v>245</v>
      </c>
      <c r="E43" s="26"/>
      <c r="F43" s="9">
        <v>45576</v>
      </c>
      <c r="G43" s="10">
        <v>0</v>
      </c>
      <c r="H43" s="10">
        <v>0</v>
      </c>
      <c r="I43" s="10">
        <v>0</v>
      </c>
      <c r="J43" s="10">
        <f t="shared" si="1"/>
        <v>0</v>
      </c>
      <c r="K43" s="10">
        <f t="shared" si="2"/>
        <v>0</v>
      </c>
      <c r="L43" s="11">
        <v>1</v>
      </c>
      <c r="M43" s="12">
        <v>0.08</v>
      </c>
      <c r="N43" s="13">
        <f t="shared" si="3"/>
        <v>0</v>
      </c>
      <c r="O43" s="13">
        <f t="shared" si="4"/>
        <v>0</v>
      </c>
      <c r="P43" s="12">
        <v>0.2</v>
      </c>
      <c r="Q43" s="10">
        <f>I43*L43*M43*P43</f>
        <v>0</v>
      </c>
      <c r="R43" s="10">
        <f t="shared" si="6"/>
        <v>0</v>
      </c>
      <c r="S43" s="10">
        <f t="shared" si="7"/>
        <v>0</v>
      </c>
    </row>
    <row r="44" spans="1:19" s="8" customFormat="1" x14ac:dyDescent="0.35">
      <c r="A44" s="8" t="s">
        <v>190</v>
      </c>
      <c r="B44" s="21" t="s">
        <v>239</v>
      </c>
      <c r="C44" s="21" t="s">
        <v>358</v>
      </c>
      <c r="D44" s="25">
        <f>(H44-G44)/G44*100</f>
        <v>24</v>
      </c>
      <c r="E44" s="25"/>
      <c r="F44" s="9">
        <v>45580</v>
      </c>
      <c r="G44" s="10">
        <v>150000</v>
      </c>
      <c r="H44" s="10">
        <v>186000</v>
      </c>
      <c r="I44" s="10">
        <v>56000</v>
      </c>
      <c r="J44" s="10">
        <f t="shared" si="1"/>
        <v>94000</v>
      </c>
      <c r="K44" s="10">
        <f t="shared" si="2"/>
        <v>130000</v>
      </c>
      <c r="L44" s="11">
        <v>1</v>
      </c>
      <c r="M44" s="12">
        <v>0.1</v>
      </c>
      <c r="N44" s="13">
        <f t="shared" si="3"/>
        <v>9400</v>
      </c>
      <c r="O44" s="13">
        <f t="shared" si="4"/>
        <v>15000</v>
      </c>
      <c r="P44" s="12">
        <v>0.2</v>
      </c>
      <c r="Q44" s="10">
        <f t="shared" si="5"/>
        <v>1120</v>
      </c>
      <c r="R44" s="10">
        <f t="shared" si="6"/>
        <v>1880</v>
      </c>
      <c r="S44" s="10">
        <f t="shared" si="7"/>
        <v>2600</v>
      </c>
    </row>
    <row r="45" spans="1:19" s="8" customFormat="1" x14ac:dyDescent="0.35">
      <c r="A45" s="8" t="s">
        <v>192</v>
      </c>
      <c r="B45" s="21" t="s">
        <v>234</v>
      </c>
      <c r="C45" s="21" t="s">
        <v>357</v>
      </c>
      <c r="D45" s="25">
        <f t="shared" si="0"/>
        <v>213.33333333333334</v>
      </c>
      <c r="E45" s="25"/>
      <c r="F45" s="9">
        <v>45598</v>
      </c>
      <c r="G45" s="10">
        <v>150000</v>
      </c>
      <c r="H45" s="10">
        <v>470000</v>
      </c>
      <c r="I45" s="10">
        <v>404000</v>
      </c>
      <c r="J45" s="10">
        <f t="shared" si="1"/>
        <v>-254000</v>
      </c>
      <c r="K45" s="10">
        <f t="shared" si="2"/>
        <v>66000</v>
      </c>
      <c r="L45" s="11">
        <v>0.75</v>
      </c>
      <c r="M45" s="12">
        <v>0.1</v>
      </c>
      <c r="N45" s="13">
        <f t="shared" si="3"/>
        <v>-25400</v>
      </c>
      <c r="O45" s="13">
        <f t="shared" si="4"/>
        <v>11250</v>
      </c>
      <c r="P45" s="12">
        <v>0.2</v>
      </c>
      <c r="Q45" s="10">
        <f t="shared" si="5"/>
        <v>6060</v>
      </c>
      <c r="R45" s="10">
        <f t="shared" si="6"/>
        <v>-3810</v>
      </c>
      <c r="S45" s="10">
        <f t="shared" si="7"/>
        <v>990</v>
      </c>
    </row>
    <row r="46" spans="1:19" s="8" customFormat="1" x14ac:dyDescent="0.35">
      <c r="A46" s="8" t="s">
        <v>191</v>
      </c>
      <c r="B46" s="21" t="s">
        <v>232</v>
      </c>
      <c r="C46" s="21" t="s">
        <v>357</v>
      </c>
      <c r="D46" s="24">
        <f t="shared" si="0"/>
        <v>0</v>
      </c>
      <c r="E46" s="24"/>
      <c r="F46" s="9">
        <v>45598</v>
      </c>
      <c r="G46" s="10">
        <v>75000</v>
      </c>
      <c r="H46" s="10">
        <v>75000</v>
      </c>
      <c r="I46" s="10">
        <v>75000</v>
      </c>
      <c r="J46" s="10">
        <f t="shared" si="1"/>
        <v>0</v>
      </c>
      <c r="K46" s="10">
        <f t="shared" si="2"/>
        <v>0</v>
      </c>
      <c r="L46" s="11">
        <v>0.5</v>
      </c>
      <c r="M46" s="12">
        <v>0.1</v>
      </c>
      <c r="N46" s="13">
        <f t="shared" si="3"/>
        <v>0</v>
      </c>
      <c r="O46" s="13">
        <f t="shared" si="4"/>
        <v>3750</v>
      </c>
      <c r="P46" s="12">
        <v>0.2</v>
      </c>
      <c r="Q46" s="10">
        <f t="shared" si="5"/>
        <v>750</v>
      </c>
      <c r="R46" s="10">
        <f t="shared" si="6"/>
        <v>0</v>
      </c>
      <c r="S46" s="10">
        <f t="shared" si="7"/>
        <v>0</v>
      </c>
    </row>
    <row r="47" spans="1:19" s="8" customFormat="1" x14ac:dyDescent="0.35">
      <c r="A47" s="8" t="s">
        <v>193</v>
      </c>
      <c r="B47" s="21" t="s">
        <v>232</v>
      </c>
      <c r="C47" s="21" t="s">
        <v>357</v>
      </c>
      <c r="D47" s="25">
        <f t="shared" si="0"/>
        <v>13.133333333333333</v>
      </c>
      <c r="E47" s="25"/>
      <c r="F47" s="9">
        <v>41252</v>
      </c>
      <c r="G47" s="10">
        <v>15000000</v>
      </c>
      <c r="H47" s="10">
        <v>16970000</v>
      </c>
      <c r="I47" s="10">
        <v>16970000</v>
      </c>
      <c r="J47" s="10">
        <f t="shared" si="1"/>
        <v>-1970000</v>
      </c>
      <c r="K47" s="10">
        <f t="shared" si="2"/>
        <v>0</v>
      </c>
      <c r="L47" s="11">
        <v>1</v>
      </c>
      <c r="M47" s="12">
        <v>0.04</v>
      </c>
      <c r="N47" s="13">
        <f t="shared" si="3"/>
        <v>-78800</v>
      </c>
      <c r="O47" s="13">
        <f t="shared" si="4"/>
        <v>600000</v>
      </c>
      <c r="P47" s="12">
        <v>0.2</v>
      </c>
      <c r="Q47" s="10">
        <f t="shared" si="5"/>
        <v>135760</v>
      </c>
      <c r="R47" s="10">
        <f t="shared" si="6"/>
        <v>-15760</v>
      </c>
      <c r="S47" s="10">
        <f t="shared" si="7"/>
        <v>0</v>
      </c>
    </row>
    <row r="48" spans="1:19" s="8" customFormat="1" x14ac:dyDescent="0.35">
      <c r="A48" s="8" t="s">
        <v>194</v>
      </c>
      <c r="B48" s="21" t="s">
        <v>232</v>
      </c>
      <c r="C48" s="21" t="s">
        <v>357</v>
      </c>
      <c r="D48" s="25">
        <f t="shared" si="0"/>
        <v>25</v>
      </c>
      <c r="E48" s="25"/>
      <c r="F48" s="9">
        <v>45637</v>
      </c>
      <c r="G48" s="10">
        <v>200000</v>
      </c>
      <c r="H48" s="10">
        <v>250000</v>
      </c>
      <c r="I48" s="10">
        <v>199000</v>
      </c>
      <c r="J48" s="10">
        <f t="shared" si="1"/>
        <v>1000</v>
      </c>
      <c r="K48" s="10">
        <f t="shared" si="2"/>
        <v>51000</v>
      </c>
      <c r="L48" s="11">
        <v>1</v>
      </c>
      <c r="M48" s="12">
        <v>0.04</v>
      </c>
      <c r="N48" s="13">
        <f t="shared" si="3"/>
        <v>40</v>
      </c>
      <c r="O48" s="13">
        <f t="shared" si="4"/>
        <v>8000</v>
      </c>
      <c r="P48" s="12">
        <v>0.2</v>
      </c>
      <c r="Q48" s="10">
        <f t="shared" si="5"/>
        <v>1592</v>
      </c>
      <c r="R48" s="10">
        <f t="shared" si="6"/>
        <v>8</v>
      </c>
      <c r="S48" s="10">
        <f t="shared" si="7"/>
        <v>408</v>
      </c>
    </row>
    <row r="49" spans="1:20" s="8" customFormat="1" x14ac:dyDescent="0.35">
      <c r="A49" s="8" t="s">
        <v>195</v>
      </c>
      <c r="B49" s="21" t="s">
        <v>244</v>
      </c>
      <c r="C49" s="21" t="s">
        <v>358</v>
      </c>
      <c r="D49" s="26" t="s">
        <v>245</v>
      </c>
      <c r="E49" s="26"/>
      <c r="F49" s="9">
        <v>45637</v>
      </c>
      <c r="G49" s="10">
        <v>400000</v>
      </c>
      <c r="H49" s="10">
        <v>400000</v>
      </c>
      <c r="I49" s="10">
        <v>0</v>
      </c>
      <c r="J49" s="10">
        <f t="shared" si="1"/>
        <v>400000</v>
      </c>
      <c r="K49" s="10">
        <f t="shared" si="2"/>
        <v>400000</v>
      </c>
      <c r="L49" s="11">
        <v>1</v>
      </c>
      <c r="M49" s="12">
        <v>0.1</v>
      </c>
      <c r="N49" s="13">
        <f t="shared" si="3"/>
        <v>40000</v>
      </c>
      <c r="O49" s="13">
        <f t="shared" si="4"/>
        <v>40000</v>
      </c>
      <c r="P49" s="12">
        <v>0.2</v>
      </c>
      <c r="Q49" s="10">
        <f t="shared" si="5"/>
        <v>0</v>
      </c>
      <c r="R49" s="10">
        <f t="shared" si="6"/>
        <v>8000</v>
      </c>
      <c r="S49" s="10">
        <f t="shared" si="7"/>
        <v>8000</v>
      </c>
    </row>
    <row r="50" spans="1:20" s="8" customFormat="1" x14ac:dyDescent="0.35">
      <c r="A50" s="8" t="s">
        <v>196</v>
      </c>
      <c r="B50" s="21" t="s">
        <v>234</v>
      </c>
      <c r="C50" s="21" t="s">
        <v>357</v>
      </c>
      <c r="D50" s="25">
        <f t="shared" si="0"/>
        <v>18.333333333333332</v>
      </c>
      <c r="E50" s="25"/>
      <c r="F50" s="9">
        <v>45639</v>
      </c>
      <c r="G50" s="10">
        <v>300000</v>
      </c>
      <c r="H50" s="10">
        <v>355000</v>
      </c>
      <c r="I50" s="10">
        <v>355000</v>
      </c>
      <c r="J50" s="10">
        <f t="shared" si="1"/>
        <v>-55000</v>
      </c>
      <c r="K50" s="10">
        <f t="shared" si="2"/>
        <v>0</v>
      </c>
      <c r="L50" s="11">
        <v>0.75</v>
      </c>
      <c r="M50" s="12">
        <v>0.1</v>
      </c>
      <c r="N50" s="13">
        <f t="shared" si="3"/>
        <v>-5500</v>
      </c>
      <c r="O50" s="13">
        <f t="shared" si="4"/>
        <v>22500</v>
      </c>
      <c r="P50" s="12">
        <v>0.2</v>
      </c>
      <c r="Q50" s="10">
        <f t="shared" si="5"/>
        <v>5325</v>
      </c>
      <c r="R50" s="10">
        <f t="shared" si="6"/>
        <v>-825</v>
      </c>
      <c r="S50" s="10">
        <f t="shared" si="7"/>
        <v>0</v>
      </c>
    </row>
    <row r="51" spans="1:20" s="8" customFormat="1" x14ac:dyDescent="0.35">
      <c r="A51" s="8" t="s">
        <v>197</v>
      </c>
      <c r="B51" s="21" t="s">
        <v>234</v>
      </c>
      <c r="C51" s="21" t="s">
        <v>357</v>
      </c>
      <c r="D51" s="25">
        <f t="shared" si="0"/>
        <v>111.20000000000002</v>
      </c>
      <c r="E51" s="25"/>
      <c r="F51" s="9">
        <v>45640</v>
      </c>
      <c r="G51" s="10">
        <v>500000</v>
      </c>
      <c r="H51" s="10">
        <v>1056000</v>
      </c>
      <c r="I51" s="10">
        <v>1056000</v>
      </c>
      <c r="J51" s="10">
        <f t="shared" si="1"/>
        <v>-556000</v>
      </c>
      <c r="K51" s="10">
        <f t="shared" si="2"/>
        <v>0</v>
      </c>
      <c r="L51" s="11">
        <v>0.5</v>
      </c>
      <c r="M51" s="12">
        <v>7.0000000000000007E-2</v>
      </c>
      <c r="N51" s="13">
        <f t="shared" si="3"/>
        <v>-38920.000000000007</v>
      </c>
      <c r="O51" s="13">
        <f t="shared" si="4"/>
        <v>17500</v>
      </c>
      <c r="P51" s="12">
        <v>0.2</v>
      </c>
      <c r="Q51" s="10">
        <f t="shared" si="5"/>
        <v>7392</v>
      </c>
      <c r="R51" s="10">
        <f t="shared" si="6"/>
        <v>-3892.0000000000009</v>
      </c>
      <c r="S51" s="10">
        <f t="shared" si="7"/>
        <v>0</v>
      </c>
    </row>
    <row r="52" spans="1:20" s="8" customFormat="1" x14ac:dyDescent="0.35">
      <c r="A52" s="8" t="s">
        <v>198</v>
      </c>
      <c r="B52" s="21" t="s">
        <v>234</v>
      </c>
      <c r="C52" s="21" t="s">
        <v>357</v>
      </c>
      <c r="D52" s="25">
        <f t="shared" si="0"/>
        <v>24</v>
      </c>
      <c r="E52" s="25"/>
      <c r="F52" s="9">
        <v>45656</v>
      </c>
      <c r="G52" s="10">
        <v>125000</v>
      </c>
      <c r="H52" s="10">
        <v>155000</v>
      </c>
      <c r="I52" s="10">
        <v>155000</v>
      </c>
      <c r="J52" s="10">
        <f t="shared" si="1"/>
        <v>-30000</v>
      </c>
      <c r="K52" s="10">
        <f t="shared" si="2"/>
        <v>0</v>
      </c>
      <c r="L52" s="11">
        <v>1</v>
      </c>
      <c r="M52" s="12">
        <v>0.08</v>
      </c>
      <c r="N52" s="13">
        <f t="shared" si="3"/>
        <v>-2400</v>
      </c>
      <c r="O52" s="13">
        <f t="shared" si="4"/>
        <v>10000</v>
      </c>
      <c r="P52" s="12">
        <v>0.2</v>
      </c>
      <c r="Q52" s="10">
        <f t="shared" si="5"/>
        <v>2480</v>
      </c>
      <c r="R52" s="10">
        <f t="shared" si="6"/>
        <v>-480</v>
      </c>
      <c r="S52" s="10">
        <f t="shared" si="7"/>
        <v>0</v>
      </c>
    </row>
    <row r="53" spans="1:20" s="8" customFormat="1" x14ac:dyDescent="0.35">
      <c r="B53" s="21"/>
      <c r="C53" s="21"/>
      <c r="D53" s="24"/>
      <c r="E53" s="24"/>
      <c r="F53" s="9"/>
      <c r="G53" s="10"/>
      <c r="H53" s="10"/>
      <c r="I53" s="10"/>
      <c r="J53" s="10"/>
      <c r="K53" s="10"/>
      <c r="L53" s="11"/>
      <c r="M53" s="12"/>
      <c r="N53" s="13"/>
      <c r="O53" s="13"/>
      <c r="P53" s="12"/>
      <c r="Q53" s="10"/>
      <c r="R53" s="10"/>
      <c r="S53" s="10"/>
    </row>
    <row r="54" spans="1:20" s="8" customFormat="1" x14ac:dyDescent="0.35">
      <c r="B54" s="21" t="s">
        <v>257</v>
      </c>
      <c r="C54" s="21"/>
      <c r="D54" s="25">
        <v>24</v>
      </c>
      <c r="E54" s="25"/>
      <c r="F54" s="9"/>
      <c r="G54" s="10"/>
      <c r="H54" s="10"/>
      <c r="I54" s="10"/>
      <c r="J54" s="10"/>
      <c r="K54" s="10"/>
      <c r="L54" s="11"/>
      <c r="M54" s="12"/>
      <c r="N54" s="13"/>
      <c r="O54" s="13"/>
      <c r="P54" s="12"/>
      <c r="Q54" s="10"/>
      <c r="R54" s="10"/>
      <c r="S54" s="10"/>
    </row>
    <row r="55" spans="1:20" s="8" customFormat="1" x14ac:dyDescent="0.35">
      <c r="B55" s="21" t="s">
        <v>262</v>
      </c>
      <c r="C55" s="21"/>
      <c r="D55" s="26" t="s">
        <v>245</v>
      </c>
      <c r="E55" s="26"/>
      <c r="F55" s="9"/>
      <c r="G55" s="10"/>
      <c r="H55" s="10"/>
      <c r="I55" s="10"/>
      <c r="J55" s="10"/>
      <c r="K55" s="10"/>
      <c r="L55" s="11"/>
      <c r="M55" s="12"/>
      <c r="N55" s="13"/>
      <c r="O55" s="13"/>
      <c r="P55" s="12"/>
      <c r="Q55" s="10"/>
      <c r="R55" s="10"/>
      <c r="S55" s="10"/>
    </row>
    <row r="56" spans="1:20" s="8" customFormat="1" x14ac:dyDescent="0.35">
      <c r="B56" s="21" t="s">
        <v>258</v>
      </c>
      <c r="C56" s="21"/>
      <c r="D56" s="25">
        <v>11</v>
      </c>
      <c r="E56" s="25"/>
      <c r="F56" s="9"/>
      <c r="G56" s="10"/>
      <c r="H56" s="10"/>
      <c r="I56" s="10"/>
      <c r="J56" s="10"/>
      <c r="K56" s="10"/>
      <c r="L56" s="11"/>
      <c r="M56" s="12"/>
      <c r="N56" s="13"/>
      <c r="O56" s="13"/>
      <c r="P56" s="12"/>
      <c r="Q56" s="10"/>
      <c r="R56" s="10"/>
      <c r="S56" s="10"/>
    </row>
    <row r="57" spans="1:20" s="8" customFormat="1" x14ac:dyDescent="0.35">
      <c r="B57" s="21" t="s">
        <v>259</v>
      </c>
      <c r="C57" s="21"/>
      <c r="D57" s="25">
        <f>AVERAGE(D2,D5,D10,D11,D13,D14,D15,D16,D18,D19,D21,D26,D32,D37,D38,D39,D40,D42,D46,D47,D48)</f>
        <v>45.596749811035529</v>
      </c>
      <c r="E57" s="25"/>
      <c r="F57" s="9"/>
      <c r="G57" s="10"/>
      <c r="H57" s="10"/>
      <c r="I57" s="10"/>
      <c r="J57" s="10"/>
      <c r="K57" s="10"/>
      <c r="L57" s="11"/>
      <c r="M57" s="12"/>
      <c r="N57" s="13"/>
      <c r="O57" s="13"/>
      <c r="P57" s="12"/>
      <c r="Q57" s="10"/>
      <c r="R57" s="10"/>
      <c r="S57" s="10"/>
    </row>
    <row r="58" spans="1:20" s="8" customFormat="1" x14ac:dyDescent="0.35">
      <c r="B58" s="21" t="s">
        <v>260</v>
      </c>
      <c r="C58" s="21"/>
      <c r="D58" s="26" t="s">
        <v>245</v>
      </c>
      <c r="E58" s="26"/>
      <c r="F58" s="9"/>
      <c r="G58" s="10"/>
      <c r="H58" s="10"/>
      <c r="I58" s="10"/>
      <c r="J58" s="10"/>
      <c r="K58" s="10"/>
      <c r="L58" s="11"/>
      <c r="M58" s="12"/>
      <c r="N58" s="13"/>
      <c r="O58" s="13"/>
      <c r="P58" s="12"/>
      <c r="Q58" s="10"/>
      <c r="R58" s="10"/>
      <c r="S58" s="10"/>
    </row>
    <row r="59" spans="1:20" s="8" customFormat="1" x14ac:dyDescent="0.35">
      <c r="B59" s="21" t="s">
        <v>261</v>
      </c>
      <c r="C59" s="21"/>
      <c r="D59" s="26" t="s">
        <v>245</v>
      </c>
      <c r="E59" s="26"/>
      <c r="F59" s="9"/>
      <c r="G59" s="10"/>
      <c r="H59" s="10"/>
      <c r="I59" s="10"/>
      <c r="J59" s="10"/>
      <c r="K59" s="10"/>
      <c r="L59" s="11"/>
      <c r="M59" s="12"/>
      <c r="N59" s="13"/>
      <c r="O59" s="13"/>
      <c r="P59" s="12"/>
      <c r="Q59" s="10"/>
      <c r="R59" s="10"/>
      <c r="S59" s="10"/>
    </row>
    <row r="60" spans="1:20" s="8" customFormat="1" x14ac:dyDescent="0.35">
      <c r="B60" s="21" t="s">
        <v>264</v>
      </c>
      <c r="C60" s="21"/>
      <c r="D60" s="25">
        <f>AVERAGE(D7,D24,D28,D41,D45,D50,D51,D52)</f>
        <v>156.50416666666666</v>
      </c>
      <c r="E60" s="25"/>
      <c r="F60" s="9"/>
      <c r="G60" s="10"/>
      <c r="H60" s="10"/>
      <c r="I60" s="10"/>
      <c r="J60" s="10"/>
      <c r="K60" s="10"/>
      <c r="L60" s="11"/>
      <c r="M60" s="12"/>
      <c r="N60" s="13"/>
      <c r="O60" s="13"/>
      <c r="P60" s="12"/>
      <c r="Q60" s="10"/>
      <c r="R60" s="10"/>
      <c r="S60" s="10"/>
    </row>
    <row r="61" spans="1:20" x14ac:dyDescent="0.35">
      <c r="A61" s="8"/>
      <c r="B61" s="21" t="s">
        <v>263</v>
      </c>
      <c r="C61" s="21"/>
      <c r="D61" s="25">
        <f>AVERAGE(D4,D9)</f>
        <v>43</v>
      </c>
      <c r="E61" s="25"/>
      <c r="F61" s="9"/>
      <c r="G61" s="10"/>
      <c r="H61" s="10"/>
      <c r="I61" s="10"/>
      <c r="J61" s="10"/>
      <c r="K61" s="10"/>
      <c r="L61" s="11"/>
      <c r="M61" s="12"/>
      <c r="N61" s="13"/>
      <c r="O61" s="13"/>
      <c r="P61" s="12"/>
      <c r="Q61" s="10"/>
      <c r="R61" s="10"/>
      <c r="S61" s="10"/>
    </row>
    <row r="62" spans="1:20" x14ac:dyDescent="0.35">
      <c r="A62" s="8"/>
      <c r="B62" s="21" t="s">
        <v>265</v>
      </c>
      <c r="C62" s="21"/>
      <c r="D62" s="24">
        <f>AVERAGE(D30,D31,D34)</f>
        <v>0</v>
      </c>
      <c r="E62" s="24"/>
      <c r="F62" s="9"/>
      <c r="G62" s="10"/>
      <c r="H62" s="10"/>
      <c r="I62" s="10"/>
      <c r="J62" s="10"/>
      <c r="K62" s="10"/>
      <c r="L62" s="11"/>
      <c r="M62" s="12"/>
      <c r="N62" s="13"/>
      <c r="O62" s="13"/>
      <c r="P62" s="12"/>
      <c r="Q62" s="10"/>
      <c r="R62" s="10"/>
      <c r="S62" s="10"/>
    </row>
    <row r="63" spans="1:20" x14ac:dyDescent="0.35">
      <c r="A63" s="8"/>
      <c r="B63" s="21"/>
      <c r="C63" s="21"/>
      <c r="D63" s="24"/>
      <c r="E63" s="24"/>
      <c r="F63" s="9"/>
      <c r="G63" s="10"/>
      <c r="H63" s="10"/>
      <c r="I63" s="10"/>
      <c r="J63" s="10"/>
      <c r="K63" s="10"/>
      <c r="L63" s="11"/>
      <c r="M63" s="12"/>
      <c r="N63" s="13"/>
      <c r="O63" s="13"/>
      <c r="P63" s="12"/>
      <c r="Q63" s="10"/>
      <c r="R63" s="10"/>
      <c r="S63" s="10"/>
    </row>
    <row r="64" spans="1:20" x14ac:dyDescent="0.35">
      <c r="A64" s="8"/>
      <c r="B64" s="21"/>
      <c r="C64" s="21"/>
      <c r="D64" s="24"/>
      <c r="E64" s="24"/>
      <c r="F64" s="9"/>
      <c r="G64" s="10"/>
      <c r="H64" s="10"/>
      <c r="I64" s="10"/>
      <c r="J64" s="10"/>
      <c r="K64" s="10"/>
      <c r="L64" s="11"/>
      <c r="M64" s="12"/>
      <c r="N64" s="13"/>
      <c r="O64" s="13"/>
      <c r="P64" s="12"/>
      <c r="Q64" s="10"/>
      <c r="R64" s="10"/>
      <c r="S64" s="10"/>
      <c r="T64" s="8"/>
    </row>
    <row r="65" spans="6:20" x14ac:dyDescent="0.35">
      <c r="F65" s="4"/>
      <c r="G65" s="3">
        <f>SUM(G2:G64)</f>
        <v>29575000</v>
      </c>
      <c r="H65" s="3">
        <f>SUM(H2:H64)</f>
        <v>36267500</v>
      </c>
      <c r="I65" s="1">
        <f>SUM(I2:I64)</f>
        <v>32553500</v>
      </c>
      <c r="J65" s="1">
        <f>SUM(J2:J64)</f>
        <v>-2557500</v>
      </c>
      <c r="K65" s="1">
        <f>SUM(K2:K64)</f>
        <v>3714000</v>
      </c>
      <c r="L65" s="1"/>
      <c r="N65" s="14">
        <f>SUM(N2:N64)</f>
        <v>-115740</v>
      </c>
      <c r="O65" s="14">
        <f>SUM(O2:O64)</f>
        <v>1568500</v>
      </c>
      <c r="Q65" s="1">
        <f>SUM(Q2:Q64)</f>
        <v>328567.125</v>
      </c>
      <c r="R65" s="1">
        <f>SUM(R2:R64)</f>
        <v>-27302.125</v>
      </c>
      <c r="S65" s="1">
        <f>SUM(S2:S64)</f>
        <v>41093</v>
      </c>
      <c r="T65" s="8"/>
    </row>
    <row r="66" spans="6:20" x14ac:dyDescent="0.35">
      <c r="F66" s="4"/>
      <c r="G66" s="1">
        <f>AVERAGE(G44:G52,G37:G42,G34,G30:G32,G28,G24:G26,G21:G22,G2:G19)</f>
        <v>687790.69767441857</v>
      </c>
      <c r="H66" s="1">
        <f>AVERAGE(H44:H52,H37:H42,H34,H30:H32,H28,H24:H26,H21:H22,H2:H19)</f>
        <v>843430.23255813948</v>
      </c>
      <c r="M66" s="2">
        <f>AVERAGE(M2:M52)</f>
        <v>8.6274509803921595E-2</v>
      </c>
      <c r="O66" s="15">
        <f>O65*0.25</f>
        <v>392125</v>
      </c>
      <c r="Q66" s="1"/>
      <c r="T66" s="8"/>
    </row>
    <row r="67" spans="6:20" x14ac:dyDescent="0.35">
      <c r="T67" s="8"/>
    </row>
    <row r="68" spans="6:20" x14ac:dyDescent="0.35">
      <c r="F68" s="4"/>
      <c r="J68" s="1"/>
      <c r="K68" s="1"/>
      <c r="M68"/>
      <c r="N68"/>
      <c r="O68"/>
    </row>
    <row r="69" spans="6:20" x14ac:dyDescent="0.35">
      <c r="F69" s="4"/>
      <c r="J69" s="1"/>
      <c r="K69" s="1"/>
      <c r="M69"/>
      <c r="N69"/>
      <c r="O6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CC6D-98E5-457A-A5AD-BD0C05EF471F}">
  <dimension ref="A1:T58"/>
  <sheetViews>
    <sheetView workbookViewId="0">
      <selection activeCell="C23" sqref="C23"/>
    </sheetView>
  </sheetViews>
  <sheetFormatPr defaultRowHeight="14.5" x14ac:dyDescent="0.35"/>
  <cols>
    <col min="1" max="2" width="25.54296875" customWidth="1"/>
    <col min="3" max="3" width="7.6328125" customWidth="1"/>
    <col min="4" max="5" width="25.54296875" customWidth="1"/>
    <col min="6" max="6" width="15.81640625" customWidth="1"/>
    <col min="7" max="7" width="16.453125" style="1" customWidth="1"/>
    <col min="8" max="8" width="17.54296875" style="1" customWidth="1"/>
    <col min="9" max="9" width="17.81640625" style="1" customWidth="1"/>
    <col min="10" max="11" width="17.26953125" customWidth="1"/>
    <col min="12" max="12" width="9.81640625" customWidth="1"/>
    <col min="13" max="13" width="7.1796875" style="2" customWidth="1"/>
    <col min="14" max="15" width="14.81640625" style="2" bestFit="1" customWidth="1"/>
    <col min="16" max="16" width="9.453125" customWidth="1"/>
    <col min="17" max="17" width="12.54296875" customWidth="1"/>
    <col min="18" max="18" width="12.81640625" customWidth="1"/>
    <col min="19" max="19" width="14.1796875" customWidth="1"/>
  </cols>
  <sheetData>
    <row r="1" spans="1:19" s="8" customFormat="1" x14ac:dyDescent="0.35">
      <c r="A1" s="5" t="s">
        <v>15</v>
      </c>
      <c r="B1" s="5" t="s">
        <v>231</v>
      </c>
      <c r="C1" s="5" t="s">
        <v>356</v>
      </c>
      <c r="D1" s="22" t="s">
        <v>365</v>
      </c>
      <c r="E1" s="22" t="s">
        <v>366</v>
      </c>
      <c r="F1" s="5" t="s">
        <v>20</v>
      </c>
      <c r="G1" s="6" t="s">
        <v>80</v>
      </c>
      <c r="H1" s="6" t="s">
        <v>33</v>
      </c>
      <c r="I1" s="6" t="s">
        <v>47</v>
      </c>
      <c r="J1" s="5" t="s">
        <v>37</v>
      </c>
      <c r="K1" s="5" t="s">
        <v>38</v>
      </c>
      <c r="L1" s="5" t="s">
        <v>21</v>
      </c>
      <c r="M1" s="7" t="s">
        <v>14</v>
      </c>
      <c r="N1" s="7" t="s">
        <v>45</v>
      </c>
      <c r="O1" s="7" t="s">
        <v>46</v>
      </c>
      <c r="P1" s="5" t="s">
        <v>19</v>
      </c>
      <c r="Q1" s="5" t="s">
        <v>22</v>
      </c>
      <c r="R1" s="5" t="s">
        <v>35</v>
      </c>
      <c r="S1" s="5" t="s">
        <v>36</v>
      </c>
    </row>
    <row r="2" spans="1:19" s="8" customFormat="1" x14ac:dyDescent="0.35">
      <c r="A2" s="8" t="s">
        <v>199</v>
      </c>
      <c r="B2" s="21" t="s">
        <v>236</v>
      </c>
      <c r="C2" s="21" t="s">
        <v>357</v>
      </c>
      <c r="D2" s="25">
        <f>(H2-G2)/G2*100</f>
        <v>33.333333333333329</v>
      </c>
      <c r="E2" s="25"/>
      <c r="F2" s="9">
        <v>45660</v>
      </c>
      <c r="G2" s="10">
        <v>300000</v>
      </c>
      <c r="H2" s="10">
        <v>400000</v>
      </c>
      <c r="I2" s="10">
        <v>400000</v>
      </c>
      <c r="J2" s="10">
        <f>G2-I2</f>
        <v>-100000</v>
      </c>
      <c r="K2" s="10">
        <f>H2-I2</f>
        <v>0</v>
      </c>
      <c r="L2" s="11">
        <v>0.5</v>
      </c>
      <c r="M2" s="12">
        <v>0.08</v>
      </c>
      <c r="N2" s="13">
        <f>J2*M2</f>
        <v>-8000</v>
      </c>
      <c r="O2" s="13">
        <f>L2*G2*M2</f>
        <v>12000</v>
      </c>
      <c r="P2" s="12">
        <v>0.2</v>
      </c>
      <c r="Q2" s="10">
        <f>I2*L2*M2*P2</f>
        <v>3200</v>
      </c>
      <c r="R2" s="10">
        <f>J2*L2*M2*P2</f>
        <v>-800</v>
      </c>
      <c r="S2" s="10">
        <f>K2*L2*M2*P2</f>
        <v>0</v>
      </c>
    </row>
    <row r="3" spans="1:19" s="8" customFormat="1" x14ac:dyDescent="0.35">
      <c r="A3" s="8" t="s">
        <v>200</v>
      </c>
      <c r="B3" s="21" t="s">
        <v>238</v>
      </c>
      <c r="C3" s="21" t="s">
        <v>358</v>
      </c>
      <c r="D3" s="25">
        <f>(H3-G3)/G3*100</f>
        <v>12.5</v>
      </c>
      <c r="E3" s="25"/>
      <c r="F3" s="9">
        <v>45667</v>
      </c>
      <c r="G3" s="10">
        <v>200000</v>
      </c>
      <c r="H3" s="10">
        <v>225000</v>
      </c>
      <c r="I3" s="10">
        <v>225000</v>
      </c>
      <c r="J3" s="10">
        <f>G3-I3</f>
        <v>-25000</v>
      </c>
      <c r="K3" s="10">
        <f>H3-I3</f>
        <v>0</v>
      </c>
      <c r="L3" s="11">
        <v>1</v>
      </c>
      <c r="M3" s="12">
        <v>0.1</v>
      </c>
      <c r="N3" s="13">
        <f>J3*M3</f>
        <v>-2500</v>
      </c>
      <c r="O3" s="13">
        <f>L3*G3*M3</f>
        <v>20000</v>
      </c>
      <c r="P3" s="12">
        <v>0.2</v>
      </c>
      <c r="Q3" s="10">
        <f>I3*L3*M3*P3</f>
        <v>4500</v>
      </c>
      <c r="R3" s="10">
        <f>J3*L3*M3*P3</f>
        <v>-500</v>
      </c>
      <c r="S3" s="10">
        <f>K3*L3*M3*P3</f>
        <v>0</v>
      </c>
    </row>
    <row r="4" spans="1:19" s="8" customFormat="1" x14ac:dyDescent="0.35">
      <c r="A4" s="8" t="s">
        <v>201</v>
      </c>
      <c r="B4" s="21" t="s">
        <v>234</v>
      </c>
      <c r="C4" s="21" t="s">
        <v>357</v>
      </c>
      <c r="D4" s="25">
        <f>(H4-G4)/G4*100</f>
        <v>33.333333333333329</v>
      </c>
      <c r="E4" s="25"/>
      <c r="F4" s="9">
        <v>45672</v>
      </c>
      <c r="G4" s="10">
        <v>600000</v>
      </c>
      <c r="H4" s="10">
        <v>800000</v>
      </c>
      <c r="I4" s="10">
        <v>527000</v>
      </c>
      <c r="J4" s="10">
        <f t="shared" ref="J4:J52" si="0">G4-I4</f>
        <v>73000</v>
      </c>
      <c r="K4" s="10">
        <f t="shared" ref="K4:K52" si="1">H4-I4</f>
        <v>273000</v>
      </c>
      <c r="L4" s="11">
        <v>1</v>
      </c>
      <c r="M4" s="12">
        <v>7.0000000000000007E-2</v>
      </c>
      <c r="N4" s="13">
        <f t="shared" ref="N4:N52" si="2">J4*M4</f>
        <v>5110.0000000000009</v>
      </c>
      <c r="O4" s="13">
        <f t="shared" ref="O4:O52" si="3">L4*G4*M4</f>
        <v>42000.000000000007</v>
      </c>
      <c r="P4" s="12">
        <v>0.2</v>
      </c>
      <c r="Q4" s="10">
        <f t="shared" ref="Q4:Q52" si="4">I4*L4*M4*P4</f>
        <v>7378</v>
      </c>
      <c r="R4" s="10">
        <f t="shared" ref="R4:R52" si="5">J4*L4*M4*P4</f>
        <v>1022.0000000000002</v>
      </c>
      <c r="S4" s="10">
        <f t="shared" ref="S4:S52" si="6">K4*L4*M4*P4</f>
        <v>3822</v>
      </c>
    </row>
    <row r="5" spans="1:19" s="8" customFormat="1" x14ac:dyDescent="0.35">
      <c r="A5" s="8" t="s">
        <v>202</v>
      </c>
      <c r="B5" s="21" t="s">
        <v>232</v>
      </c>
      <c r="C5" s="21" t="s">
        <v>357</v>
      </c>
      <c r="D5" s="25">
        <f>(H5-G5)/G5*100</f>
        <v>5.7142857142857144</v>
      </c>
      <c r="E5" s="25"/>
      <c r="F5" s="9">
        <v>45682</v>
      </c>
      <c r="G5" s="10">
        <v>175000</v>
      </c>
      <c r="H5" s="10">
        <v>185000</v>
      </c>
      <c r="I5" s="10">
        <v>152000</v>
      </c>
      <c r="J5" s="10">
        <f t="shared" si="0"/>
        <v>23000</v>
      </c>
      <c r="K5" s="10">
        <f t="shared" si="1"/>
        <v>33000</v>
      </c>
      <c r="L5" s="11">
        <v>0.5</v>
      </c>
      <c r="M5" s="12">
        <v>0.1</v>
      </c>
      <c r="N5" s="13">
        <f t="shared" si="2"/>
        <v>2300</v>
      </c>
      <c r="O5" s="13">
        <f t="shared" si="3"/>
        <v>8750</v>
      </c>
      <c r="P5" s="12">
        <v>0.2</v>
      </c>
      <c r="Q5" s="10">
        <f t="shared" si="4"/>
        <v>1520</v>
      </c>
      <c r="R5" s="10">
        <f t="shared" si="5"/>
        <v>230</v>
      </c>
      <c r="S5" s="10">
        <f t="shared" si="6"/>
        <v>330</v>
      </c>
    </row>
    <row r="6" spans="1:19" s="8" customFormat="1" x14ac:dyDescent="0.35">
      <c r="A6" s="8" t="s">
        <v>203</v>
      </c>
      <c r="B6" s="21" t="s">
        <v>237</v>
      </c>
      <c r="C6" s="21" t="s">
        <v>358</v>
      </c>
      <c r="D6" s="26" t="s">
        <v>245</v>
      </c>
      <c r="E6" s="26"/>
      <c r="F6" s="9">
        <v>45680</v>
      </c>
      <c r="G6" s="10">
        <v>0</v>
      </c>
      <c r="H6" s="10">
        <v>0</v>
      </c>
      <c r="I6" s="10">
        <v>0</v>
      </c>
      <c r="J6" s="10">
        <f t="shared" si="0"/>
        <v>0</v>
      </c>
      <c r="K6" s="10">
        <f t="shared" si="1"/>
        <v>0</v>
      </c>
      <c r="L6" s="11">
        <v>0.75</v>
      </c>
      <c r="M6" s="12"/>
      <c r="N6" s="13">
        <f t="shared" si="2"/>
        <v>0</v>
      </c>
      <c r="O6" s="13">
        <f t="shared" si="3"/>
        <v>0</v>
      </c>
      <c r="P6" s="12">
        <v>0.2</v>
      </c>
      <c r="Q6" s="10">
        <f t="shared" si="4"/>
        <v>0</v>
      </c>
      <c r="R6" s="10">
        <f t="shared" si="5"/>
        <v>0</v>
      </c>
      <c r="S6" s="10">
        <f t="shared" si="6"/>
        <v>0</v>
      </c>
    </row>
    <row r="7" spans="1:19" s="8" customFormat="1" x14ac:dyDescent="0.35">
      <c r="A7" s="8" t="s">
        <v>204</v>
      </c>
      <c r="B7" s="21" t="s">
        <v>233</v>
      </c>
      <c r="C7" s="21" t="s">
        <v>358</v>
      </c>
      <c r="D7" s="66">
        <f>(H7-G7)/G7*100</f>
        <v>-33.333333333333329</v>
      </c>
      <c r="E7" s="66"/>
      <c r="F7" s="9">
        <v>45687</v>
      </c>
      <c r="G7" s="10">
        <v>150000</v>
      </c>
      <c r="H7" s="10">
        <v>100000</v>
      </c>
      <c r="I7" s="10">
        <v>69000</v>
      </c>
      <c r="J7" s="10">
        <f t="shared" si="0"/>
        <v>81000</v>
      </c>
      <c r="K7" s="10">
        <f t="shared" si="1"/>
        <v>31000</v>
      </c>
      <c r="L7" s="11">
        <v>1</v>
      </c>
      <c r="M7" s="12">
        <v>0.1</v>
      </c>
      <c r="N7" s="13">
        <f t="shared" si="2"/>
        <v>8100</v>
      </c>
      <c r="O7" s="13">
        <f t="shared" si="3"/>
        <v>15000</v>
      </c>
      <c r="P7" s="12">
        <v>0.2</v>
      </c>
      <c r="Q7" s="10">
        <f t="shared" si="4"/>
        <v>1380</v>
      </c>
      <c r="R7" s="10">
        <f t="shared" si="5"/>
        <v>1620</v>
      </c>
      <c r="S7" s="10">
        <f t="shared" si="6"/>
        <v>620</v>
      </c>
    </row>
    <row r="8" spans="1:19" s="8" customFormat="1" x14ac:dyDescent="0.35">
      <c r="A8" s="8" t="s">
        <v>205</v>
      </c>
      <c r="B8" s="21" t="s">
        <v>232</v>
      </c>
      <c r="C8" s="21" t="s">
        <v>357</v>
      </c>
      <c r="D8" s="25">
        <f>(H8-G8)/G8*100</f>
        <v>77.777777777777786</v>
      </c>
      <c r="E8" s="25"/>
      <c r="F8" s="9">
        <v>45700</v>
      </c>
      <c r="G8" s="10">
        <v>450000</v>
      </c>
      <c r="H8" s="10">
        <v>800000</v>
      </c>
      <c r="I8" s="10">
        <v>657000</v>
      </c>
      <c r="J8" s="10">
        <f t="shared" si="0"/>
        <v>-207000</v>
      </c>
      <c r="K8" s="10">
        <f t="shared" si="1"/>
        <v>143000</v>
      </c>
      <c r="L8" s="11">
        <v>1</v>
      </c>
      <c r="M8" s="12">
        <v>0.1</v>
      </c>
      <c r="N8" s="13">
        <f t="shared" si="2"/>
        <v>-20700</v>
      </c>
      <c r="O8" s="13">
        <f t="shared" si="3"/>
        <v>45000</v>
      </c>
      <c r="P8" s="12">
        <v>0.2</v>
      </c>
      <c r="Q8" s="10">
        <f t="shared" si="4"/>
        <v>13140</v>
      </c>
      <c r="R8" s="10">
        <f t="shared" si="5"/>
        <v>-4140</v>
      </c>
      <c r="S8" s="10">
        <f t="shared" si="6"/>
        <v>2860</v>
      </c>
    </row>
    <row r="9" spans="1:19" s="8" customFormat="1" x14ac:dyDescent="0.35">
      <c r="A9" s="8" t="s">
        <v>206</v>
      </c>
      <c r="B9" s="21" t="s">
        <v>235</v>
      </c>
      <c r="C9" s="21" t="s">
        <v>357</v>
      </c>
      <c r="D9" s="25">
        <f>(H9-G9)/G9*100</f>
        <v>18.333333333333332</v>
      </c>
      <c r="E9" s="25"/>
      <c r="F9" s="9">
        <v>45719</v>
      </c>
      <c r="G9" s="10">
        <v>300000</v>
      </c>
      <c r="H9" s="10">
        <v>355000</v>
      </c>
      <c r="I9" s="10">
        <v>56000</v>
      </c>
      <c r="J9" s="10">
        <f t="shared" si="0"/>
        <v>244000</v>
      </c>
      <c r="K9" s="10">
        <f t="shared" si="1"/>
        <v>299000</v>
      </c>
      <c r="L9" s="11">
        <v>1</v>
      </c>
      <c r="M9" s="12">
        <v>0.1</v>
      </c>
      <c r="N9" s="13">
        <f t="shared" si="2"/>
        <v>24400</v>
      </c>
      <c r="O9" s="13">
        <f t="shared" si="3"/>
        <v>30000</v>
      </c>
      <c r="P9" s="12">
        <v>0.2</v>
      </c>
      <c r="Q9" s="10">
        <f t="shared" si="4"/>
        <v>1120</v>
      </c>
      <c r="R9" s="10">
        <f t="shared" si="5"/>
        <v>4880</v>
      </c>
      <c r="S9" s="10">
        <f t="shared" si="6"/>
        <v>5980</v>
      </c>
    </row>
    <row r="10" spans="1:19" s="8" customFormat="1" x14ac:dyDescent="0.35">
      <c r="A10" s="8" t="s">
        <v>207</v>
      </c>
      <c r="B10" s="21" t="s">
        <v>235</v>
      </c>
      <c r="C10" s="21" t="s">
        <v>357</v>
      </c>
      <c r="D10" s="25">
        <f>(H10-G10)/G10*100</f>
        <v>113.33333333333333</v>
      </c>
      <c r="E10" s="25"/>
      <c r="F10" s="9">
        <v>45733</v>
      </c>
      <c r="G10" s="10">
        <v>150000</v>
      </c>
      <c r="H10" s="10">
        <v>320000</v>
      </c>
      <c r="I10" s="10">
        <v>200000</v>
      </c>
      <c r="J10" s="10">
        <f t="shared" si="0"/>
        <v>-50000</v>
      </c>
      <c r="K10" s="10">
        <f t="shared" si="1"/>
        <v>120000</v>
      </c>
      <c r="L10" s="11">
        <v>0.75</v>
      </c>
      <c r="M10" s="12">
        <v>0.1</v>
      </c>
      <c r="N10" s="13">
        <f t="shared" si="2"/>
        <v>-5000</v>
      </c>
      <c r="O10" s="13">
        <f t="shared" si="3"/>
        <v>11250</v>
      </c>
      <c r="P10" s="12">
        <v>0.2</v>
      </c>
      <c r="Q10" s="10">
        <f t="shared" si="4"/>
        <v>3000</v>
      </c>
      <c r="R10" s="10">
        <f t="shared" si="5"/>
        <v>-750</v>
      </c>
      <c r="S10" s="10">
        <f t="shared" si="6"/>
        <v>1800</v>
      </c>
    </row>
    <row r="11" spans="1:19" s="8" customFormat="1" x14ac:dyDescent="0.35">
      <c r="A11" s="8" t="s">
        <v>247</v>
      </c>
      <c r="B11" s="21" t="s">
        <v>235</v>
      </c>
      <c r="C11" s="21" t="s">
        <v>357</v>
      </c>
      <c r="D11" s="27">
        <f>(H11-G11)/G11*100</f>
        <v>-8</v>
      </c>
      <c r="E11" s="27"/>
      <c r="F11" s="9">
        <v>45741</v>
      </c>
      <c r="G11" s="10">
        <v>75000</v>
      </c>
      <c r="H11" s="10">
        <v>69000</v>
      </c>
      <c r="I11" s="10">
        <v>69000</v>
      </c>
      <c r="J11" s="10">
        <f t="shared" si="0"/>
        <v>6000</v>
      </c>
      <c r="K11" s="10">
        <f t="shared" si="1"/>
        <v>0</v>
      </c>
      <c r="L11" s="11">
        <v>0.75</v>
      </c>
      <c r="M11" s="12">
        <v>0.1</v>
      </c>
      <c r="N11" s="13">
        <f t="shared" si="2"/>
        <v>600</v>
      </c>
      <c r="O11" s="13">
        <f t="shared" si="3"/>
        <v>5625</v>
      </c>
      <c r="P11" s="12">
        <v>0.2</v>
      </c>
      <c r="Q11" s="10">
        <f t="shared" ref="Q11:Q12" si="7">I11*L11*M11*P11</f>
        <v>1035</v>
      </c>
      <c r="R11" s="10">
        <f t="shared" ref="R11:R12" si="8">J11*L11*M11*P11</f>
        <v>90</v>
      </c>
      <c r="S11" s="10">
        <f t="shared" ref="S11:S12" si="9">K11*L11*M11*P11</f>
        <v>0</v>
      </c>
    </row>
    <row r="12" spans="1:19" s="8" customFormat="1" x14ac:dyDescent="0.35">
      <c r="A12" s="8" t="s">
        <v>208</v>
      </c>
      <c r="B12" s="21" t="s">
        <v>235</v>
      </c>
      <c r="C12" s="21" t="s">
        <v>357</v>
      </c>
      <c r="D12" s="27">
        <f>(H12-G12)/G12*100</f>
        <v>-30.571428571428573</v>
      </c>
      <c r="E12" s="27"/>
      <c r="F12" s="9">
        <v>45733</v>
      </c>
      <c r="G12" s="10">
        <v>350000</v>
      </c>
      <c r="H12" s="10">
        <v>243000</v>
      </c>
      <c r="I12" s="10">
        <v>200000</v>
      </c>
      <c r="J12" s="10">
        <f t="shared" si="0"/>
        <v>150000</v>
      </c>
      <c r="K12" s="10">
        <f t="shared" si="1"/>
        <v>43000</v>
      </c>
      <c r="L12" s="11">
        <v>1</v>
      </c>
      <c r="M12" s="12">
        <v>0.1</v>
      </c>
      <c r="N12" s="13">
        <f t="shared" si="2"/>
        <v>15000</v>
      </c>
      <c r="O12" s="13">
        <f t="shared" si="3"/>
        <v>35000</v>
      </c>
      <c r="P12" s="12">
        <v>0.2</v>
      </c>
      <c r="Q12" s="10">
        <f t="shared" si="7"/>
        <v>4000</v>
      </c>
      <c r="R12" s="10">
        <f t="shared" si="8"/>
        <v>3000</v>
      </c>
      <c r="S12" s="10">
        <f t="shared" si="9"/>
        <v>860</v>
      </c>
    </row>
    <row r="13" spans="1:19" s="8" customFormat="1" x14ac:dyDescent="0.35">
      <c r="A13" s="8" t="s">
        <v>209</v>
      </c>
      <c r="B13" s="21" t="s">
        <v>233</v>
      </c>
      <c r="C13" s="21" t="s">
        <v>358</v>
      </c>
      <c r="D13" s="25">
        <f>(H13-G13)/G13*100</f>
        <v>18.75</v>
      </c>
      <c r="E13" s="25"/>
      <c r="F13" s="9">
        <v>45734</v>
      </c>
      <c r="G13" s="10">
        <v>400000</v>
      </c>
      <c r="H13" s="10">
        <v>475000</v>
      </c>
      <c r="I13" s="10">
        <v>426000</v>
      </c>
      <c r="J13" s="10">
        <f t="shared" si="0"/>
        <v>-26000</v>
      </c>
      <c r="K13" s="10">
        <f t="shared" si="1"/>
        <v>49000</v>
      </c>
      <c r="L13" s="11">
        <v>0.5</v>
      </c>
      <c r="M13" s="12">
        <v>0.08</v>
      </c>
      <c r="N13" s="13">
        <f t="shared" si="2"/>
        <v>-2080</v>
      </c>
      <c r="O13" s="13">
        <f t="shared" si="3"/>
        <v>16000</v>
      </c>
      <c r="P13" s="12">
        <v>0.2</v>
      </c>
      <c r="Q13" s="10">
        <f t="shared" si="4"/>
        <v>3408</v>
      </c>
      <c r="R13" s="10">
        <f t="shared" si="5"/>
        <v>-208</v>
      </c>
      <c r="S13" s="10">
        <f t="shared" si="6"/>
        <v>392</v>
      </c>
    </row>
    <row r="14" spans="1:19" s="8" customFormat="1" x14ac:dyDescent="0.35">
      <c r="A14" s="8" t="s">
        <v>210</v>
      </c>
      <c r="B14" s="21" t="s">
        <v>236</v>
      </c>
      <c r="C14" s="21" t="s">
        <v>357</v>
      </c>
      <c r="D14" s="24">
        <f>(H14-G14)/G14*100</f>
        <v>0</v>
      </c>
      <c r="E14" s="24"/>
      <c r="F14" s="9">
        <v>45749</v>
      </c>
      <c r="G14" s="10">
        <v>3200000</v>
      </c>
      <c r="H14" s="10">
        <v>3200000</v>
      </c>
      <c r="I14" s="10">
        <v>0</v>
      </c>
      <c r="J14" s="10">
        <f t="shared" si="0"/>
        <v>3200000</v>
      </c>
      <c r="K14" s="10">
        <f t="shared" si="1"/>
        <v>3200000</v>
      </c>
      <c r="L14" s="11">
        <v>0.75</v>
      </c>
      <c r="M14" s="12">
        <v>0.08</v>
      </c>
      <c r="N14" s="13">
        <f t="shared" si="2"/>
        <v>256000</v>
      </c>
      <c r="O14" s="13">
        <f t="shared" si="3"/>
        <v>192000</v>
      </c>
      <c r="P14" s="12">
        <v>0.2</v>
      </c>
      <c r="Q14" s="10">
        <f t="shared" si="4"/>
        <v>0</v>
      </c>
      <c r="R14" s="10">
        <f t="shared" si="5"/>
        <v>38400</v>
      </c>
      <c r="S14" s="10">
        <f t="shared" si="6"/>
        <v>38400</v>
      </c>
    </row>
    <row r="15" spans="1:19" s="8" customFormat="1" x14ac:dyDescent="0.35">
      <c r="A15" s="8" t="s">
        <v>211</v>
      </c>
      <c r="B15" s="21" t="s">
        <v>235</v>
      </c>
      <c r="C15" s="21" t="s">
        <v>357</v>
      </c>
      <c r="D15" s="27">
        <f>(H15-G15)/G15*100</f>
        <v>-6.666666666666667</v>
      </c>
      <c r="E15" s="27"/>
      <c r="F15" s="9">
        <v>45772</v>
      </c>
      <c r="G15" s="10">
        <v>1500000</v>
      </c>
      <c r="H15" s="10">
        <v>1400000</v>
      </c>
      <c r="I15" s="10">
        <v>1400000</v>
      </c>
      <c r="J15" s="10">
        <f t="shared" si="0"/>
        <v>100000</v>
      </c>
      <c r="K15" s="10">
        <f t="shared" si="1"/>
        <v>0</v>
      </c>
      <c r="L15" s="11">
        <v>0.25</v>
      </c>
      <c r="M15" s="12">
        <v>6.5000000000000002E-2</v>
      </c>
      <c r="N15" s="13">
        <f t="shared" si="2"/>
        <v>6500</v>
      </c>
      <c r="O15" s="13">
        <f t="shared" si="3"/>
        <v>24375</v>
      </c>
      <c r="P15" s="12">
        <v>0.2</v>
      </c>
      <c r="Q15" s="10">
        <f t="shared" si="4"/>
        <v>4550</v>
      </c>
      <c r="R15" s="10">
        <f t="shared" si="5"/>
        <v>325</v>
      </c>
      <c r="S15" s="10">
        <f t="shared" si="6"/>
        <v>0</v>
      </c>
    </row>
    <row r="16" spans="1:19" s="8" customFormat="1" x14ac:dyDescent="0.35">
      <c r="A16" s="8" t="s">
        <v>212</v>
      </c>
      <c r="B16" s="21" t="s">
        <v>239</v>
      </c>
      <c r="C16" s="21" t="s">
        <v>357</v>
      </c>
      <c r="D16" s="25">
        <f>(H16-G16)/G16*100</f>
        <v>25</v>
      </c>
      <c r="E16" s="25"/>
      <c r="F16" s="9">
        <v>45776</v>
      </c>
      <c r="G16" s="10">
        <v>200000</v>
      </c>
      <c r="H16" s="10">
        <v>250000</v>
      </c>
      <c r="I16" s="10">
        <v>250000</v>
      </c>
      <c r="J16" s="10">
        <f t="shared" si="0"/>
        <v>-50000</v>
      </c>
      <c r="K16" s="10">
        <f t="shared" si="1"/>
        <v>0</v>
      </c>
      <c r="L16" s="11">
        <v>0.75</v>
      </c>
      <c r="M16" s="12">
        <v>0.1</v>
      </c>
      <c r="N16" s="13">
        <f t="shared" si="2"/>
        <v>-5000</v>
      </c>
      <c r="O16" s="13">
        <f t="shared" si="3"/>
        <v>15000</v>
      </c>
      <c r="P16" s="12">
        <v>0.2</v>
      </c>
      <c r="Q16" s="10">
        <f t="shared" si="4"/>
        <v>3750</v>
      </c>
      <c r="R16" s="10">
        <f t="shared" si="5"/>
        <v>-750</v>
      </c>
      <c r="S16" s="10">
        <f t="shared" si="6"/>
        <v>0</v>
      </c>
    </row>
    <row r="17" spans="1:19" s="8" customFormat="1" x14ac:dyDescent="0.35">
      <c r="A17" s="8" t="s">
        <v>213</v>
      </c>
      <c r="B17" s="21" t="s">
        <v>233</v>
      </c>
      <c r="C17" s="21" t="s">
        <v>358</v>
      </c>
      <c r="D17" s="25">
        <f>(H17-G17)/G17*100</f>
        <v>14.285714285714285</v>
      </c>
      <c r="E17" s="25"/>
      <c r="F17" s="9">
        <v>45779</v>
      </c>
      <c r="G17" s="10">
        <v>175000</v>
      </c>
      <c r="H17" s="10">
        <v>200000</v>
      </c>
      <c r="I17" s="10">
        <v>195000</v>
      </c>
      <c r="J17" s="10">
        <f t="shared" si="0"/>
        <v>-20000</v>
      </c>
      <c r="K17" s="10">
        <f t="shared" si="1"/>
        <v>5000</v>
      </c>
      <c r="L17" s="11">
        <v>0.75</v>
      </c>
      <c r="M17" s="12">
        <v>0.1</v>
      </c>
      <c r="N17" s="13">
        <f t="shared" si="2"/>
        <v>-2000</v>
      </c>
      <c r="O17" s="13">
        <f t="shared" si="3"/>
        <v>13125</v>
      </c>
      <c r="P17" s="12">
        <v>0.2</v>
      </c>
      <c r="Q17" s="10">
        <f t="shared" si="4"/>
        <v>2925</v>
      </c>
      <c r="R17" s="10">
        <f t="shared" si="5"/>
        <v>-300</v>
      </c>
      <c r="S17" s="10">
        <f t="shared" si="6"/>
        <v>75</v>
      </c>
    </row>
    <row r="18" spans="1:19" s="8" customFormat="1" x14ac:dyDescent="0.35">
      <c r="A18" s="8" t="s">
        <v>214</v>
      </c>
      <c r="B18" s="21" t="s">
        <v>234</v>
      </c>
      <c r="C18" s="21" t="s">
        <v>357</v>
      </c>
      <c r="D18" s="25">
        <f>(H18-G18)/G18*100</f>
        <v>3</v>
      </c>
      <c r="E18" s="25"/>
      <c r="F18" s="9">
        <v>45784</v>
      </c>
      <c r="G18" s="10">
        <v>500000</v>
      </c>
      <c r="H18" s="10">
        <v>515000</v>
      </c>
      <c r="I18" s="10">
        <v>513000</v>
      </c>
      <c r="J18" s="10">
        <f t="shared" si="0"/>
        <v>-13000</v>
      </c>
      <c r="K18" s="10">
        <f t="shared" si="1"/>
        <v>2000</v>
      </c>
      <c r="L18" s="11">
        <v>1</v>
      </c>
      <c r="M18" s="12">
        <v>7.0000000000000007E-2</v>
      </c>
      <c r="N18" s="13">
        <f t="shared" si="2"/>
        <v>-910.00000000000011</v>
      </c>
      <c r="O18" s="13">
        <f t="shared" si="3"/>
        <v>35000</v>
      </c>
      <c r="P18" s="12">
        <v>0.2</v>
      </c>
      <c r="Q18" s="10">
        <f t="shared" si="4"/>
        <v>7182</v>
      </c>
      <c r="R18" s="10">
        <f t="shared" si="5"/>
        <v>-182.00000000000003</v>
      </c>
      <c r="S18" s="10">
        <f t="shared" si="6"/>
        <v>28</v>
      </c>
    </row>
    <row r="19" spans="1:19" s="8" customFormat="1" x14ac:dyDescent="0.35">
      <c r="A19" s="8" t="s">
        <v>163</v>
      </c>
      <c r="B19" s="21" t="s">
        <v>238</v>
      </c>
      <c r="C19" s="21" t="s">
        <v>358</v>
      </c>
      <c r="D19" s="26" t="s">
        <v>245</v>
      </c>
      <c r="E19" s="26"/>
      <c r="F19" s="9">
        <v>45789</v>
      </c>
      <c r="G19" s="10">
        <v>0</v>
      </c>
      <c r="H19" s="10">
        <v>0</v>
      </c>
      <c r="I19" s="10">
        <v>0</v>
      </c>
      <c r="J19" s="10">
        <f t="shared" si="0"/>
        <v>0</v>
      </c>
      <c r="K19" s="10">
        <f t="shared" si="1"/>
        <v>0</v>
      </c>
      <c r="L19" s="11">
        <v>0.75</v>
      </c>
      <c r="M19" s="12"/>
      <c r="N19" s="13">
        <v>0</v>
      </c>
      <c r="O19" s="13">
        <v>0</v>
      </c>
      <c r="P19" s="12">
        <v>0.2</v>
      </c>
      <c r="Q19" s="10">
        <f t="shared" si="4"/>
        <v>0</v>
      </c>
      <c r="R19" s="10">
        <f t="shared" si="5"/>
        <v>0</v>
      </c>
      <c r="S19" s="10">
        <f t="shared" si="6"/>
        <v>0</v>
      </c>
    </row>
    <row r="20" spans="1:19" s="8" customFormat="1" x14ac:dyDescent="0.35">
      <c r="A20" s="8" t="s">
        <v>215</v>
      </c>
      <c r="B20" s="21" t="s">
        <v>233</v>
      </c>
      <c r="C20" s="21" t="s">
        <v>358</v>
      </c>
      <c r="D20" s="27">
        <f>(H20-G20)/G20*100</f>
        <v>-33.333333333333329</v>
      </c>
      <c r="E20" s="27"/>
      <c r="F20" s="9">
        <v>45805</v>
      </c>
      <c r="G20" s="10">
        <v>150000</v>
      </c>
      <c r="H20" s="10">
        <v>100000</v>
      </c>
      <c r="I20" s="10">
        <v>93000</v>
      </c>
      <c r="J20" s="10">
        <f t="shared" si="0"/>
        <v>57000</v>
      </c>
      <c r="K20" s="10">
        <f t="shared" si="1"/>
        <v>7000</v>
      </c>
      <c r="L20" s="11">
        <v>1</v>
      </c>
      <c r="M20" s="12">
        <v>0.1</v>
      </c>
      <c r="N20" s="13">
        <f t="shared" si="2"/>
        <v>5700</v>
      </c>
      <c r="O20" s="13">
        <f t="shared" si="3"/>
        <v>15000</v>
      </c>
      <c r="P20" s="12">
        <v>0.2</v>
      </c>
      <c r="Q20" s="10">
        <f t="shared" si="4"/>
        <v>1860</v>
      </c>
      <c r="R20" s="10">
        <f t="shared" si="5"/>
        <v>1140</v>
      </c>
      <c r="S20" s="10">
        <f t="shared" si="6"/>
        <v>140</v>
      </c>
    </row>
    <row r="21" spans="1:19" s="8" customFormat="1" x14ac:dyDescent="0.35">
      <c r="A21" s="8" t="s">
        <v>216</v>
      </c>
      <c r="B21" s="21" t="s">
        <v>234</v>
      </c>
      <c r="C21" s="21" t="s">
        <v>357</v>
      </c>
      <c r="D21" s="25">
        <f>(H21-G21)/G21*100</f>
        <v>36.363636363636367</v>
      </c>
      <c r="E21" s="25"/>
      <c r="F21" s="9">
        <v>45805</v>
      </c>
      <c r="G21" s="10">
        <v>5500000</v>
      </c>
      <c r="H21" s="10">
        <v>7500000</v>
      </c>
      <c r="I21" s="10">
        <v>6500000</v>
      </c>
      <c r="J21" s="10">
        <f t="shared" si="0"/>
        <v>-1000000</v>
      </c>
      <c r="K21" s="10">
        <v>6500000</v>
      </c>
      <c r="L21" s="11">
        <v>1</v>
      </c>
      <c r="M21" s="12">
        <v>0.03</v>
      </c>
      <c r="N21" s="13">
        <f t="shared" si="2"/>
        <v>-30000</v>
      </c>
      <c r="O21" s="13">
        <f t="shared" si="3"/>
        <v>165000</v>
      </c>
      <c r="P21" s="12">
        <v>0.2</v>
      </c>
      <c r="Q21" s="10">
        <f t="shared" si="4"/>
        <v>39000</v>
      </c>
      <c r="R21" s="10">
        <f t="shared" si="5"/>
        <v>-6000</v>
      </c>
      <c r="S21" s="10">
        <f t="shared" si="6"/>
        <v>39000</v>
      </c>
    </row>
    <row r="22" spans="1:19" s="8" customFormat="1" x14ac:dyDescent="0.35">
      <c r="A22" s="8" t="s">
        <v>217</v>
      </c>
      <c r="B22" s="21" t="s">
        <v>232</v>
      </c>
      <c r="C22" s="21" t="s">
        <v>357</v>
      </c>
      <c r="D22" s="25">
        <f>(H22-G22)/G22*100</f>
        <v>16.666666666666664</v>
      </c>
      <c r="E22" s="25"/>
      <c r="F22" s="9">
        <v>45827</v>
      </c>
      <c r="G22" s="10">
        <v>3000000</v>
      </c>
      <c r="H22" s="10">
        <v>3500000</v>
      </c>
      <c r="I22" s="10">
        <v>3093000</v>
      </c>
      <c r="J22" s="10">
        <f t="shared" si="0"/>
        <v>-93000</v>
      </c>
      <c r="K22" s="10">
        <f t="shared" si="1"/>
        <v>407000</v>
      </c>
      <c r="L22" s="11">
        <v>1</v>
      </c>
      <c r="M22" s="12">
        <v>0.08</v>
      </c>
      <c r="N22" s="13">
        <f t="shared" si="2"/>
        <v>-7440</v>
      </c>
      <c r="O22" s="13">
        <f t="shared" si="3"/>
        <v>240000</v>
      </c>
      <c r="P22" s="12">
        <v>0.2</v>
      </c>
      <c r="Q22" s="10">
        <f t="shared" si="4"/>
        <v>49488</v>
      </c>
      <c r="R22" s="10">
        <f t="shared" si="5"/>
        <v>-1488</v>
      </c>
      <c r="S22" s="10">
        <f t="shared" si="6"/>
        <v>6512</v>
      </c>
    </row>
    <row r="23" spans="1:19" s="8" customFormat="1" x14ac:dyDescent="0.35">
      <c r="A23" s="8" t="s">
        <v>220</v>
      </c>
      <c r="B23" s="21" t="s">
        <v>248</v>
      </c>
      <c r="C23" s="21" t="s">
        <v>358</v>
      </c>
      <c r="D23" s="26" t="s">
        <v>245</v>
      </c>
      <c r="E23" s="26"/>
      <c r="F23" s="9">
        <v>45834</v>
      </c>
      <c r="G23" s="10">
        <v>0</v>
      </c>
      <c r="H23" s="10">
        <v>0</v>
      </c>
      <c r="I23" s="10">
        <v>0</v>
      </c>
      <c r="J23" s="10">
        <f t="shared" si="0"/>
        <v>0</v>
      </c>
      <c r="K23" s="10">
        <f t="shared" si="1"/>
        <v>0</v>
      </c>
      <c r="L23" s="11">
        <v>1</v>
      </c>
      <c r="M23" s="12"/>
      <c r="N23" s="13">
        <f t="shared" si="2"/>
        <v>0</v>
      </c>
      <c r="O23" s="13">
        <f t="shared" si="3"/>
        <v>0</v>
      </c>
      <c r="P23" s="12">
        <v>0.2</v>
      </c>
      <c r="Q23" s="10">
        <f t="shared" si="4"/>
        <v>0</v>
      </c>
      <c r="R23" s="10">
        <f t="shared" si="5"/>
        <v>0</v>
      </c>
      <c r="S23" s="10">
        <f t="shared" si="6"/>
        <v>0</v>
      </c>
    </row>
    <row r="24" spans="1:19" s="8" customFormat="1" x14ac:dyDescent="0.35">
      <c r="A24" s="8" t="s">
        <v>218</v>
      </c>
      <c r="B24" s="21" t="s">
        <v>232</v>
      </c>
      <c r="C24" s="21" t="s">
        <v>357</v>
      </c>
      <c r="D24" s="25">
        <f>(H24-G24)/G24*100</f>
        <v>26</v>
      </c>
      <c r="E24" s="25"/>
      <c r="F24" s="9">
        <v>45838</v>
      </c>
      <c r="G24" s="10">
        <v>200000</v>
      </c>
      <c r="H24" s="10">
        <v>252000</v>
      </c>
      <c r="I24" s="10">
        <v>252000</v>
      </c>
      <c r="J24" s="10">
        <f t="shared" si="0"/>
        <v>-52000</v>
      </c>
      <c r="K24" s="10">
        <f t="shared" si="1"/>
        <v>0</v>
      </c>
      <c r="L24" s="11">
        <v>1</v>
      </c>
      <c r="M24" s="12">
        <v>0.1</v>
      </c>
      <c r="N24" s="13">
        <f t="shared" si="2"/>
        <v>-5200</v>
      </c>
      <c r="O24" s="13">
        <f t="shared" si="3"/>
        <v>20000</v>
      </c>
      <c r="P24" s="12">
        <v>0.2</v>
      </c>
      <c r="Q24" s="10">
        <f t="shared" si="4"/>
        <v>5040</v>
      </c>
      <c r="R24" s="10">
        <f t="shared" si="5"/>
        <v>-1040</v>
      </c>
      <c r="S24" s="10">
        <f t="shared" si="6"/>
        <v>0</v>
      </c>
    </row>
    <row r="25" spans="1:19" s="8" customFormat="1" x14ac:dyDescent="0.35">
      <c r="A25" s="8" t="s">
        <v>230</v>
      </c>
      <c r="B25" s="21" t="s">
        <v>235</v>
      </c>
      <c r="C25" s="21" t="s">
        <v>357</v>
      </c>
      <c r="D25" s="24">
        <f>(H25-G25)/G25*100</f>
        <v>0</v>
      </c>
      <c r="E25" s="24"/>
      <c r="F25" s="9">
        <v>45832</v>
      </c>
      <c r="G25" s="10">
        <v>677000</v>
      </c>
      <c r="H25" s="10">
        <v>677000</v>
      </c>
      <c r="I25" s="10">
        <v>580000</v>
      </c>
      <c r="J25" s="10">
        <f t="shared" si="0"/>
        <v>97000</v>
      </c>
      <c r="K25" s="10">
        <v>0</v>
      </c>
      <c r="L25" s="11">
        <v>0</v>
      </c>
      <c r="M25" s="12">
        <v>7.0000000000000007E-2</v>
      </c>
      <c r="N25" s="13">
        <f t="shared" si="2"/>
        <v>6790.0000000000009</v>
      </c>
      <c r="O25" s="13">
        <f t="shared" si="3"/>
        <v>0</v>
      </c>
      <c r="P25" s="12">
        <v>0.2</v>
      </c>
      <c r="Q25" s="10">
        <f t="shared" si="4"/>
        <v>0</v>
      </c>
      <c r="R25" s="10">
        <f t="shared" si="5"/>
        <v>0</v>
      </c>
      <c r="S25" s="10">
        <f t="shared" si="6"/>
        <v>0</v>
      </c>
    </row>
    <row r="26" spans="1:19" s="8" customFormat="1" x14ac:dyDescent="0.35">
      <c r="A26" s="8" t="s">
        <v>230</v>
      </c>
      <c r="B26" s="21" t="s">
        <v>235</v>
      </c>
      <c r="C26" s="21" t="s">
        <v>357</v>
      </c>
      <c r="D26" s="24">
        <f>(H26-G26)/G26*100</f>
        <v>0</v>
      </c>
      <c r="E26" s="24"/>
      <c r="F26" s="9">
        <v>45856</v>
      </c>
      <c r="G26" s="10">
        <v>733000</v>
      </c>
      <c r="H26" s="10">
        <v>733000</v>
      </c>
      <c r="I26" s="10">
        <v>0</v>
      </c>
      <c r="J26" s="10">
        <v>0</v>
      </c>
      <c r="K26" s="10">
        <v>0</v>
      </c>
      <c r="L26" s="11">
        <v>0</v>
      </c>
      <c r="M26" s="12">
        <v>7.0000000000000007E-2</v>
      </c>
      <c r="N26" s="13">
        <f t="shared" si="2"/>
        <v>0</v>
      </c>
      <c r="O26" s="13">
        <f t="shared" si="3"/>
        <v>0</v>
      </c>
      <c r="P26" s="12">
        <v>0.2</v>
      </c>
      <c r="Q26" s="10">
        <f t="shared" si="4"/>
        <v>0</v>
      </c>
      <c r="R26" s="10">
        <f t="shared" si="5"/>
        <v>0</v>
      </c>
      <c r="S26" s="10">
        <f t="shared" si="6"/>
        <v>0</v>
      </c>
    </row>
    <row r="27" spans="1:19" s="8" customFormat="1" x14ac:dyDescent="0.35">
      <c r="A27" s="8" t="s">
        <v>219</v>
      </c>
      <c r="B27" s="21" t="s">
        <v>235</v>
      </c>
      <c r="C27" s="21" t="s">
        <v>357</v>
      </c>
      <c r="D27" s="25">
        <f>(H27-G27)/G27*100</f>
        <v>12.5</v>
      </c>
      <c r="E27" s="25"/>
      <c r="F27" s="9">
        <v>45845</v>
      </c>
      <c r="G27" s="10">
        <v>400000</v>
      </c>
      <c r="H27" s="10">
        <v>450000</v>
      </c>
      <c r="I27" s="10">
        <v>420000</v>
      </c>
      <c r="J27" s="10">
        <f t="shared" si="0"/>
        <v>-20000</v>
      </c>
      <c r="K27" s="10">
        <f t="shared" si="1"/>
        <v>30000</v>
      </c>
      <c r="L27" s="11">
        <v>0.35</v>
      </c>
      <c r="M27" s="12">
        <v>0.1</v>
      </c>
      <c r="N27" s="13">
        <f t="shared" si="2"/>
        <v>-2000</v>
      </c>
      <c r="O27" s="13">
        <f t="shared" si="3"/>
        <v>14000</v>
      </c>
      <c r="P27" s="12">
        <v>0.2</v>
      </c>
      <c r="Q27" s="10">
        <f t="shared" si="4"/>
        <v>2940</v>
      </c>
      <c r="R27" s="10">
        <f t="shared" si="5"/>
        <v>-140</v>
      </c>
      <c r="S27" s="10">
        <f t="shared" si="6"/>
        <v>210</v>
      </c>
    </row>
    <row r="28" spans="1:19" s="8" customFormat="1" x14ac:dyDescent="0.35">
      <c r="A28" s="8" t="s">
        <v>221</v>
      </c>
      <c r="B28" s="21" t="s">
        <v>234</v>
      </c>
      <c r="C28" s="21" t="s">
        <v>357</v>
      </c>
      <c r="D28" s="25">
        <f>(H28-G28)/G28*100</f>
        <v>40</v>
      </c>
      <c r="E28" s="25"/>
      <c r="F28" s="9">
        <v>45859</v>
      </c>
      <c r="G28" s="10">
        <v>400000</v>
      </c>
      <c r="H28" s="10">
        <v>560000</v>
      </c>
      <c r="I28" s="10">
        <v>463000</v>
      </c>
      <c r="J28" s="10">
        <f t="shared" si="0"/>
        <v>-63000</v>
      </c>
      <c r="K28" s="10">
        <f t="shared" si="1"/>
        <v>97000</v>
      </c>
      <c r="L28" s="11">
        <v>0.5</v>
      </c>
      <c r="M28" s="12">
        <v>7.0000000000000007E-2</v>
      </c>
      <c r="N28" s="13">
        <f t="shared" si="2"/>
        <v>-4410</v>
      </c>
      <c r="O28" s="13">
        <f t="shared" si="3"/>
        <v>14000.000000000002</v>
      </c>
      <c r="P28" s="12">
        <v>0.2</v>
      </c>
      <c r="Q28" s="10">
        <f t="shared" si="4"/>
        <v>3241.0000000000005</v>
      </c>
      <c r="R28" s="10">
        <f t="shared" si="5"/>
        <v>-441</v>
      </c>
      <c r="S28" s="10">
        <f t="shared" si="6"/>
        <v>679.00000000000011</v>
      </c>
    </row>
    <row r="29" spans="1:19" s="8" customFormat="1" x14ac:dyDescent="0.35">
      <c r="A29" s="8" t="s">
        <v>222</v>
      </c>
      <c r="B29" s="21" t="s">
        <v>237</v>
      </c>
      <c r="C29" s="21" t="s">
        <v>358</v>
      </c>
      <c r="D29" s="26" t="s">
        <v>245</v>
      </c>
      <c r="E29" s="26"/>
      <c r="F29" s="9">
        <v>45860</v>
      </c>
      <c r="G29" s="10">
        <v>0</v>
      </c>
      <c r="H29" s="10">
        <v>0</v>
      </c>
      <c r="I29" s="10">
        <v>0</v>
      </c>
      <c r="J29" s="10">
        <f t="shared" si="0"/>
        <v>0</v>
      </c>
      <c r="K29" s="10">
        <f t="shared" si="1"/>
        <v>0</v>
      </c>
      <c r="L29" s="11">
        <v>0.75</v>
      </c>
      <c r="M29" s="12">
        <v>0.06</v>
      </c>
      <c r="N29" s="13">
        <f t="shared" si="2"/>
        <v>0</v>
      </c>
      <c r="O29" s="13">
        <f t="shared" si="3"/>
        <v>0</v>
      </c>
      <c r="P29" s="12">
        <v>0.2</v>
      </c>
      <c r="Q29" s="10">
        <f t="shared" si="4"/>
        <v>0</v>
      </c>
      <c r="R29" s="10">
        <f t="shared" si="5"/>
        <v>0</v>
      </c>
      <c r="S29" s="10">
        <f t="shared" si="6"/>
        <v>0</v>
      </c>
    </row>
    <row r="30" spans="1:19" s="8" customFormat="1" x14ac:dyDescent="0.35">
      <c r="A30" s="8" t="s">
        <v>223</v>
      </c>
      <c r="B30" s="21" t="s">
        <v>235</v>
      </c>
      <c r="C30" s="21" t="s">
        <v>357</v>
      </c>
      <c r="D30" s="27">
        <f>(H30-G30)/G30*100</f>
        <v>-15.384615384615385</v>
      </c>
      <c r="E30" s="27"/>
      <c r="F30" s="9">
        <v>45871</v>
      </c>
      <c r="G30" s="10">
        <v>650000</v>
      </c>
      <c r="H30" s="10">
        <v>550000</v>
      </c>
      <c r="I30" s="10">
        <v>389000</v>
      </c>
      <c r="J30" s="10">
        <f t="shared" si="0"/>
        <v>261000</v>
      </c>
      <c r="K30" s="10">
        <f t="shared" si="1"/>
        <v>161000</v>
      </c>
      <c r="L30" s="11">
        <v>1</v>
      </c>
      <c r="M30" s="12">
        <v>7.0000000000000007E-2</v>
      </c>
      <c r="N30" s="13">
        <f t="shared" si="2"/>
        <v>18270</v>
      </c>
      <c r="O30" s="13">
        <f t="shared" si="3"/>
        <v>45500.000000000007</v>
      </c>
      <c r="P30" s="12">
        <v>0.2</v>
      </c>
      <c r="Q30" s="10">
        <f t="shared" si="4"/>
        <v>5446.0000000000009</v>
      </c>
      <c r="R30" s="10">
        <f t="shared" si="5"/>
        <v>3654</v>
      </c>
      <c r="S30" s="10">
        <f t="shared" si="6"/>
        <v>2254.0000000000005</v>
      </c>
    </row>
    <row r="31" spans="1:19" s="8" customFormat="1" x14ac:dyDescent="0.35">
      <c r="A31" s="8" t="s">
        <v>224</v>
      </c>
      <c r="B31" s="21" t="s">
        <v>232</v>
      </c>
      <c r="C31" s="21" t="s">
        <v>357</v>
      </c>
      <c r="D31" s="25">
        <f>(H31-G31)/G31*100</f>
        <v>5.5555555555555554</v>
      </c>
      <c r="E31" s="25"/>
      <c r="F31" s="9">
        <v>45904</v>
      </c>
      <c r="G31" s="10">
        <v>450000</v>
      </c>
      <c r="H31" s="10">
        <v>475000</v>
      </c>
      <c r="I31" s="10">
        <v>0</v>
      </c>
      <c r="J31" s="10">
        <f t="shared" si="0"/>
        <v>450000</v>
      </c>
      <c r="K31" s="10">
        <f t="shared" si="1"/>
        <v>475000</v>
      </c>
      <c r="L31" s="11">
        <v>1</v>
      </c>
      <c r="M31" s="12">
        <v>7.0000000000000007E-2</v>
      </c>
      <c r="N31" s="13">
        <f t="shared" si="2"/>
        <v>31500.000000000004</v>
      </c>
      <c r="O31" s="13">
        <f t="shared" si="3"/>
        <v>31500.000000000004</v>
      </c>
      <c r="P31" s="12">
        <v>0.2</v>
      </c>
      <c r="Q31" s="10">
        <f t="shared" si="4"/>
        <v>0</v>
      </c>
      <c r="R31" s="10">
        <f t="shared" si="5"/>
        <v>6300.0000000000009</v>
      </c>
      <c r="S31" s="10">
        <f t="shared" si="6"/>
        <v>6650</v>
      </c>
    </row>
    <row r="32" spans="1:19" s="8" customFormat="1" x14ac:dyDescent="0.35">
      <c r="A32" s="8" t="s">
        <v>225</v>
      </c>
      <c r="B32" s="21" t="s">
        <v>238</v>
      </c>
      <c r="C32" s="21" t="s">
        <v>358</v>
      </c>
      <c r="D32" s="26" t="s">
        <v>245</v>
      </c>
      <c r="E32" s="26"/>
      <c r="F32" s="9">
        <v>45954</v>
      </c>
      <c r="G32" s="10">
        <v>400000</v>
      </c>
      <c r="H32" s="10">
        <v>0</v>
      </c>
      <c r="I32" s="10">
        <v>0</v>
      </c>
      <c r="J32" s="10">
        <v>0</v>
      </c>
      <c r="K32" s="10">
        <f t="shared" si="1"/>
        <v>0</v>
      </c>
      <c r="L32" s="11">
        <v>0.75</v>
      </c>
      <c r="M32" s="12"/>
      <c r="N32" s="13">
        <f t="shared" si="2"/>
        <v>0</v>
      </c>
      <c r="O32" s="13">
        <f t="shared" si="3"/>
        <v>0</v>
      </c>
      <c r="P32" s="12">
        <v>0.2</v>
      </c>
      <c r="Q32" s="10">
        <f t="shared" si="4"/>
        <v>0</v>
      </c>
      <c r="R32" s="10">
        <f t="shared" si="5"/>
        <v>0</v>
      </c>
      <c r="S32" s="10">
        <f t="shared" si="6"/>
        <v>0</v>
      </c>
    </row>
    <row r="33" spans="1:19" s="8" customFormat="1" x14ac:dyDescent="0.35">
      <c r="A33" s="8" t="s">
        <v>226</v>
      </c>
      <c r="B33" s="21" t="s">
        <v>239</v>
      </c>
      <c r="C33" s="21" t="s">
        <v>357</v>
      </c>
      <c r="D33" s="25">
        <f>(H33-G33)/G33*100</f>
        <v>40</v>
      </c>
      <c r="E33" s="25"/>
      <c r="F33" s="9">
        <v>45954</v>
      </c>
      <c r="G33" s="10">
        <v>100000</v>
      </c>
      <c r="H33" s="10">
        <v>140000</v>
      </c>
      <c r="I33" s="10">
        <v>0</v>
      </c>
      <c r="J33" s="10">
        <v>0</v>
      </c>
      <c r="K33" s="10">
        <f t="shared" si="1"/>
        <v>140000</v>
      </c>
      <c r="L33" s="11">
        <v>0.25</v>
      </c>
      <c r="M33" s="12">
        <v>0.1</v>
      </c>
      <c r="N33" s="13">
        <f t="shared" si="2"/>
        <v>0</v>
      </c>
      <c r="O33" s="13">
        <f t="shared" si="3"/>
        <v>2500</v>
      </c>
      <c r="P33" s="12">
        <v>0.2</v>
      </c>
      <c r="Q33" s="10">
        <f t="shared" si="4"/>
        <v>0</v>
      </c>
      <c r="R33" s="10">
        <f t="shared" si="5"/>
        <v>0</v>
      </c>
      <c r="S33" s="10">
        <f t="shared" si="6"/>
        <v>700</v>
      </c>
    </row>
    <row r="34" spans="1:19" s="8" customFormat="1" x14ac:dyDescent="0.35">
      <c r="A34" s="8" t="s">
        <v>206</v>
      </c>
      <c r="B34" s="21" t="s">
        <v>235</v>
      </c>
      <c r="C34" s="21" t="s">
        <v>357</v>
      </c>
      <c r="D34" s="25">
        <f>(H34-G34)/G34*100</f>
        <v>80</v>
      </c>
      <c r="E34" s="25"/>
      <c r="F34" s="9">
        <v>45938</v>
      </c>
      <c r="G34" s="10">
        <v>500000</v>
      </c>
      <c r="H34" s="10">
        <v>900000</v>
      </c>
      <c r="I34" s="10">
        <v>0</v>
      </c>
      <c r="J34" s="10">
        <v>0</v>
      </c>
      <c r="K34" s="10">
        <f t="shared" si="1"/>
        <v>900000</v>
      </c>
      <c r="L34" s="11">
        <v>1</v>
      </c>
      <c r="M34" s="12">
        <v>7.0000000000000007E-2</v>
      </c>
      <c r="N34" s="13">
        <f t="shared" si="2"/>
        <v>0</v>
      </c>
      <c r="O34" s="13">
        <f t="shared" si="3"/>
        <v>35000</v>
      </c>
      <c r="P34" s="12">
        <v>0.2</v>
      </c>
      <c r="Q34" s="10">
        <f t="shared" si="4"/>
        <v>0</v>
      </c>
      <c r="R34" s="10">
        <f t="shared" si="5"/>
        <v>0</v>
      </c>
      <c r="S34" s="10">
        <f t="shared" si="6"/>
        <v>12600.000000000002</v>
      </c>
    </row>
    <row r="35" spans="1:19" s="8" customFormat="1" x14ac:dyDescent="0.35">
      <c r="A35" s="8" t="s">
        <v>206</v>
      </c>
      <c r="B35" s="21" t="s">
        <v>235</v>
      </c>
      <c r="C35" s="21" t="s">
        <v>357</v>
      </c>
      <c r="D35" s="24">
        <v>0</v>
      </c>
      <c r="E35" s="24"/>
      <c r="F35" s="9">
        <v>45950</v>
      </c>
      <c r="G35" s="10">
        <v>0</v>
      </c>
      <c r="H35" s="10">
        <v>0</v>
      </c>
      <c r="I35" s="10">
        <v>0</v>
      </c>
      <c r="J35" s="10">
        <v>0</v>
      </c>
      <c r="K35" s="10">
        <f t="shared" ref="K35" si="10">H35-I35</f>
        <v>0</v>
      </c>
      <c r="L35" s="11">
        <v>1</v>
      </c>
      <c r="M35" s="12">
        <v>7.0000000000000007E-2</v>
      </c>
      <c r="N35" s="13">
        <f t="shared" ref="N35" si="11">J35*M35</f>
        <v>0</v>
      </c>
      <c r="O35" s="13">
        <f t="shared" ref="O35" si="12">L35*G35*M35</f>
        <v>0</v>
      </c>
      <c r="P35" s="12">
        <v>0.2</v>
      </c>
      <c r="Q35" s="10">
        <f t="shared" ref="Q35" si="13">I35*L35*M35*P35</f>
        <v>0</v>
      </c>
      <c r="R35" s="10">
        <f t="shared" ref="R35" si="14">J35*L35*M35*P35</f>
        <v>0</v>
      </c>
      <c r="S35" s="10">
        <f t="shared" ref="S35" si="15">K35*L35*M35*P35</f>
        <v>0</v>
      </c>
    </row>
    <row r="36" spans="1:19" s="8" customFormat="1" x14ac:dyDescent="0.35">
      <c r="A36" s="8" t="s">
        <v>227</v>
      </c>
      <c r="B36" s="21" t="s">
        <v>243</v>
      </c>
      <c r="C36" s="21" t="s">
        <v>358</v>
      </c>
      <c r="D36" s="24">
        <f>(H36-G36)/G36*100</f>
        <v>0</v>
      </c>
      <c r="E36" s="24"/>
      <c r="F36" s="9">
        <v>45959</v>
      </c>
      <c r="G36" s="10">
        <v>250000</v>
      </c>
      <c r="H36" s="10">
        <v>250000</v>
      </c>
      <c r="I36" s="10">
        <v>0</v>
      </c>
      <c r="J36" s="10">
        <f t="shared" si="0"/>
        <v>250000</v>
      </c>
      <c r="K36" s="10">
        <f t="shared" si="1"/>
        <v>250000</v>
      </c>
      <c r="L36" s="11">
        <v>0.25</v>
      </c>
      <c r="M36" s="12">
        <v>0.1</v>
      </c>
      <c r="N36" s="13">
        <f t="shared" si="2"/>
        <v>25000</v>
      </c>
      <c r="O36" s="13">
        <f t="shared" si="3"/>
        <v>6250</v>
      </c>
      <c r="P36" s="12">
        <v>0.2</v>
      </c>
      <c r="Q36" s="10">
        <f t="shared" si="4"/>
        <v>0</v>
      </c>
      <c r="R36" s="10">
        <f t="shared" si="5"/>
        <v>1250</v>
      </c>
      <c r="S36" s="10">
        <f t="shared" si="6"/>
        <v>1250</v>
      </c>
    </row>
    <row r="37" spans="1:19" s="8" customFormat="1" x14ac:dyDescent="0.35">
      <c r="A37" s="8" t="s">
        <v>228</v>
      </c>
      <c r="B37" s="21" t="s">
        <v>232</v>
      </c>
      <c r="C37" s="21" t="s">
        <v>357</v>
      </c>
      <c r="D37" s="26" t="s">
        <v>245</v>
      </c>
      <c r="E37" s="26"/>
      <c r="F37" s="9">
        <v>45980</v>
      </c>
      <c r="G37" s="10">
        <v>100000</v>
      </c>
      <c r="H37" s="10">
        <v>100000</v>
      </c>
      <c r="I37" s="10">
        <v>0</v>
      </c>
      <c r="J37" s="10">
        <f t="shared" si="0"/>
        <v>100000</v>
      </c>
      <c r="K37" s="10">
        <f t="shared" si="1"/>
        <v>100000</v>
      </c>
      <c r="L37" s="11">
        <v>0.5</v>
      </c>
      <c r="M37" s="12"/>
      <c r="N37" s="13">
        <f t="shared" si="2"/>
        <v>0</v>
      </c>
      <c r="O37" s="13">
        <f t="shared" si="3"/>
        <v>0</v>
      </c>
      <c r="P37" s="12">
        <v>0.2</v>
      </c>
      <c r="Q37" s="10">
        <f t="shared" si="4"/>
        <v>0</v>
      </c>
      <c r="R37" s="10">
        <f t="shared" si="5"/>
        <v>0</v>
      </c>
      <c r="S37" s="10">
        <f t="shared" si="6"/>
        <v>0</v>
      </c>
    </row>
    <row r="38" spans="1:19" s="8" customFormat="1" x14ac:dyDescent="0.35">
      <c r="A38" s="8" t="s">
        <v>229</v>
      </c>
      <c r="B38" s="21" t="s">
        <v>235</v>
      </c>
      <c r="C38" s="21" t="s">
        <v>357</v>
      </c>
      <c r="D38" s="24">
        <f>(H38-G38)/G38*100</f>
        <v>0</v>
      </c>
      <c r="E38" s="24"/>
      <c r="F38" s="9">
        <v>45989</v>
      </c>
      <c r="G38" s="10">
        <v>150000</v>
      </c>
      <c r="H38" s="10">
        <v>150000</v>
      </c>
      <c r="I38" s="10">
        <v>0</v>
      </c>
      <c r="J38" s="10">
        <f t="shared" si="0"/>
        <v>150000</v>
      </c>
      <c r="K38" s="10">
        <f t="shared" si="1"/>
        <v>150000</v>
      </c>
      <c r="L38" s="11">
        <v>0.5</v>
      </c>
      <c r="M38" s="12">
        <v>0.1</v>
      </c>
      <c r="N38" s="13">
        <f t="shared" si="2"/>
        <v>15000</v>
      </c>
      <c r="O38" s="13">
        <f t="shared" si="3"/>
        <v>7500</v>
      </c>
      <c r="P38" s="12">
        <v>0.2</v>
      </c>
      <c r="Q38" s="10">
        <f t="shared" si="4"/>
        <v>0</v>
      </c>
      <c r="R38" s="10">
        <f t="shared" si="5"/>
        <v>1500</v>
      </c>
      <c r="S38" s="10">
        <f t="shared" si="6"/>
        <v>1500</v>
      </c>
    </row>
    <row r="39" spans="1:19" s="8" customFormat="1" x14ac:dyDescent="0.35">
      <c r="A39" s="8" t="s">
        <v>355</v>
      </c>
      <c r="B39" s="21" t="s">
        <v>239</v>
      </c>
      <c r="C39" s="21" t="s">
        <v>357</v>
      </c>
      <c r="D39" s="24">
        <v>0</v>
      </c>
      <c r="E39" s="24"/>
      <c r="F39" s="9">
        <v>45996</v>
      </c>
      <c r="G39" s="10">
        <v>400000</v>
      </c>
      <c r="H39" s="10">
        <v>400000</v>
      </c>
      <c r="I39" s="10">
        <v>0</v>
      </c>
      <c r="J39" s="10">
        <f t="shared" ref="J39" si="16">G39-I39</f>
        <v>400000</v>
      </c>
      <c r="K39" s="10">
        <f t="shared" ref="K39" si="17">H39-I39</f>
        <v>400000</v>
      </c>
      <c r="L39" s="11">
        <v>1</v>
      </c>
      <c r="M39" s="12">
        <v>0.1</v>
      </c>
      <c r="N39" s="13">
        <f t="shared" ref="N39" si="18">J39*M39</f>
        <v>40000</v>
      </c>
      <c r="O39" s="13">
        <f t="shared" ref="O39" si="19">L39*G39*M39</f>
        <v>40000</v>
      </c>
      <c r="P39" s="12">
        <v>0.2</v>
      </c>
      <c r="Q39" s="10">
        <f t="shared" ref="Q39" si="20">I39*L39*M39*P39</f>
        <v>0</v>
      </c>
      <c r="R39" s="10">
        <f t="shared" ref="R39" si="21">J39*L39*M39*P39</f>
        <v>8000</v>
      </c>
      <c r="S39" s="10">
        <f t="shared" ref="S39" si="22">K39*L39*M39*P39</f>
        <v>8000</v>
      </c>
    </row>
    <row r="40" spans="1:19" s="8" customFormat="1" x14ac:dyDescent="0.35">
      <c r="B40" s="21"/>
      <c r="C40" s="21"/>
      <c r="D40" s="24"/>
      <c r="E40" s="24"/>
      <c r="F40" s="9"/>
      <c r="G40" s="10"/>
      <c r="H40" s="10"/>
      <c r="I40" s="10"/>
      <c r="J40" s="10"/>
      <c r="K40" s="10"/>
      <c r="L40" s="11"/>
      <c r="M40" s="12"/>
      <c r="N40" s="13"/>
      <c r="O40" s="13"/>
      <c r="P40" s="12"/>
      <c r="Q40" s="10"/>
      <c r="R40" s="10"/>
      <c r="S40" s="10"/>
    </row>
    <row r="41" spans="1:19" s="8" customFormat="1" x14ac:dyDescent="0.35">
      <c r="B41" s="21"/>
      <c r="C41" s="21"/>
      <c r="D41" s="28"/>
      <c r="E41" s="28"/>
      <c r="F41" s="9"/>
      <c r="G41" s="10"/>
      <c r="H41" s="10"/>
      <c r="I41" s="10"/>
      <c r="J41" s="10"/>
      <c r="K41" s="10"/>
      <c r="L41" s="11"/>
      <c r="M41" s="12"/>
      <c r="N41" s="13"/>
      <c r="O41" s="13"/>
      <c r="P41" s="12"/>
      <c r="Q41" s="10"/>
      <c r="R41" s="10"/>
      <c r="S41" s="10"/>
    </row>
    <row r="42" spans="1:19" s="8" customFormat="1" x14ac:dyDescent="0.35">
      <c r="B42" s="21" t="s">
        <v>353</v>
      </c>
      <c r="C42" s="21"/>
      <c r="D42" s="29">
        <f>AVERAGE(D33,D16)</f>
        <v>32.5</v>
      </c>
      <c r="E42" s="29"/>
      <c r="F42" s="9"/>
      <c r="G42" s="10"/>
      <c r="H42" s="10"/>
      <c r="I42" s="10"/>
      <c r="J42" s="10"/>
      <c r="K42" s="10"/>
      <c r="L42" s="11"/>
      <c r="M42" s="12"/>
      <c r="N42" s="13"/>
      <c r="O42" s="13"/>
      <c r="P42" s="12"/>
      <c r="Q42" s="10"/>
      <c r="R42" s="10"/>
      <c r="S42" s="10"/>
    </row>
    <row r="43" spans="1:19" s="8" customFormat="1" x14ac:dyDescent="0.35">
      <c r="B43" s="21" t="s">
        <v>252</v>
      </c>
      <c r="C43" s="21"/>
      <c r="D43" s="28">
        <v>0</v>
      </c>
      <c r="E43" s="28"/>
      <c r="F43" s="9"/>
      <c r="G43" s="10"/>
      <c r="H43" s="10"/>
      <c r="I43" s="10"/>
      <c r="J43" s="10"/>
      <c r="K43" s="10"/>
      <c r="L43" s="11"/>
      <c r="M43" s="12"/>
      <c r="N43" s="13"/>
      <c r="O43" s="13"/>
      <c r="P43" s="12"/>
      <c r="Q43" s="10"/>
      <c r="R43" s="10"/>
      <c r="S43" s="10"/>
    </row>
    <row r="44" spans="1:19" s="8" customFormat="1" x14ac:dyDescent="0.35">
      <c r="B44" s="21" t="s">
        <v>251</v>
      </c>
      <c r="C44" s="21"/>
      <c r="D44" s="28">
        <f>G44-I44</f>
        <v>0</v>
      </c>
      <c r="E44" s="28"/>
      <c r="F44" s="9"/>
      <c r="G44" s="10"/>
      <c r="H44" s="10"/>
      <c r="I44" s="10"/>
      <c r="J44" s="10"/>
      <c r="K44" s="10"/>
      <c r="L44" s="11"/>
      <c r="M44" s="12"/>
      <c r="N44" s="13"/>
      <c r="O44" s="13"/>
      <c r="P44" s="12"/>
      <c r="Q44" s="10"/>
      <c r="R44" s="10"/>
      <c r="S44" s="10"/>
    </row>
    <row r="45" spans="1:19" s="8" customFormat="1" x14ac:dyDescent="0.35">
      <c r="B45" s="21" t="s">
        <v>352</v>
      </c>
      <c r="C45" s="21"/>
      <c r="D45" s="29">
        <f>AVERAGE(D31,D24,D22,D8,D5)</f>
        <v>26.342857142857145</v>
      </c>
      <c r="E45" s="29"/>
      <c r="F45" s="9"/>
      <c r="G45" s="10"/>
      <c r="H45" s="10"/>
      <c r="I45" s="10"/>
      <c r="J45" s="10"/>
      <c r="K45" s="10"/>
      <c r="L45" s="11"/>
      <c r="M45" s="12"/>
      <c r="N45" s="13"/>
      <c r="O45" s="13"/>
      <c r="P45" s="12"/>
      <c r="Q45" s="10"/>
      <c r="R45" s="10"/>
      <c r="S45" s="10"/>
    </row>
    <row r="46" spans="1:19" s="8" customFormat="1" x14ac:dyDescent="0.35">
      <c r="B46" s="21" t="s">
        <v>260</v>
      </c>
      <c r="C46" s="21"/>
      <c r="D46" s="26" t="s">
        <v>245</v>
      </c>
      <c r="E46" s="26"/>
      <c r="F46" s="9"/>
      <c r="G46" s="10"/>
      <c r="H46" s="10"/>
      <c r="I46" s="10"/>
      <c r="J46" s="10"/>
      <c r="K46" s="10"/>
      <c r="L46" s="11"/>
      <c r="M46" s="12"/>
      <c r="N46" s="13"/>
      <c r="O46" s="13"/>
      <c r="P46" s="12"/>
      <c r="Q46" s="10"/>
      <c r="R46" s="10"/>
      <c r="S46" s="10"/>
    </row>
    <row r="47" spans="1:19" s="8" customFormat="1" x14ac:dyDescent="0.35">
      <c r="B47" s="21" t="s">
        <v>253</v>
      </c>
      <c r="C47" s="21"/>
      <c r="D47" s="65">
        <f>AVERAGE(D20,D17,D13,D7)</f>
        <v>-8.4077380952380931</v>
      </c>
      <c r="E47" s="65"/>
      <c r="F47" s="9"/>
      <c r="G47" s="10"/>
      <c r="H47" s="10"/>
      <c r="I47" s="10"/>
      <c r="J47" s="10"/>
      <c r="K47" s="10"/>
      <c r="L47" s="11"/>
      <c r="M47" s="12"/>
      <c r="N47" s="13"/>
      <c r="O47" s="13"/>
      <c r="P47" s="12"/>
      <c r="Q47" s="10"/>
      <c r="R47" s="10"/>
      <c r="S47" s="10"/>
    </row>
    <row r="48" spans="1:19" s="8" customFormat="1" x14ac:dyDescent="0.35">
      <c r="B48" s="21" t="s">
        <v>354</v>
      </c>
      <c r="C48" s="21"/>
      <c r="D48" s="29">
        <f>AVERAGE(D9,D10,D11,D12,D15,D25,D26,D27,D34,D38)</f>
        <v>17.892857142857142</v>
      </c>
      <c r="E48" s="29"/>
      <c r="F48" s="9"/>
      <c r="G48" s="10"/>
      <c r="H48" s="10"/>
      <c r="I48" s="10"/>
      <c r="J48" s="10"/>
      <c r="K48" s="10"/>
      <c r="L48" s="11"/>
      <c r="M48" s="12"/>
      <c r="N48" s="13"/>
      <c r="O48" s="13"/>
      <c r="P48" s="12"/>
      <c r="Q48" s="10"/>
      <c r="R48" s="10"/>
      <c r="S48" s="10"/>
    </row>
    <row r="49" spans="2:20" s="8" customFormat="1" x14ac:dyDescent="0.35">
      <c r="B49" s="21" t="s">
        <v>254</v>
      </c>
      <c r="C49" s="21"/>
      <c r="D49" s="29">
        <f>AVERAGE(D4,D18,D21,D28)</f>
        <v>28.174242424242422</v>
      </c>
      <c r="E49" s="29"/>
      <c r="F49" s="9"/>
      <c r="G49" s="10"/>
      <c r="H49" s="10"/>
      <c r="I49" s="10"/>
      <c r="J49" s="10"/>
      <c r="K49" s="10"/>
      <c r="L49" s="11"/>
      <c r="M49" s="12"/>
      <c r="N49" s="13"/>
      <c r="O49" s="13"/>
      <c r="P49" s="12"/>
      <c r="Q49" s="10"/>
      <c r="R49" s="10"/>
      <c r="S49" s="10"/>
    </row>
    <row r="50" spans="2:20" s="8" customFormat="1" x14ac:dyDescent="0.35">
      <c r="B50" s="21" t="s">
        <v>255</v>
      </c>
      <c r="C50" s="21"/>
      <c r="D50" s="29">
        <f>AVERAGE(D2,D14)</f>
        <v>16.666666666666664</v>
      </c>
      <c r="E50" s="29"/>
      <c r="F50" s="9"/>
      <c r="G50" s="10"/>
      <c r="H50" s="10"/>
      <c r="I50" s="10"/>
      <c r="J50" s="10"/>
      <c r="K50" s="10"/>
      <c r="L50" s="11"/>
      <c r="M50" s="12"/>
      <c r="N50" s="13"/>
      <c r="O50" s="13"/>
      <c r="P50" s="12"/>
      <c r="Q50" s="10"/>
      <c r="R50" s="10"/>
      <c r="S50" s="10"/>
    </row>
    <row r="51" spans="2:20" s="8" customFormat="1" x14ac:dyDescent="0.35">
      <c r="B51" s="21" t="s">
        <v>256</v>
      </c>
      <c r="C51" s="21"/>
      <c r="D51" s="29">
        <f>D3/3</f>
        <v>4.166666666666667</v>
      </c>
      <c r="E51" s="29"/>
      <c r="F51" s="9"/>
      <c r="G51" s="10"/>
      <c r="H51" s="10"/>
      <c r="I51" s="10"/>
      <c r="J51" s="10"/>
      <c r="K51" s="10"/>
      <c r="L51" s="11"/>
      <c r="M51" s="12"/>
      <c r="N51" s="13"/>
      <c r="O51" s="13"/>
      <c r="P51" s="12"/>
      <c r="Q51" s="10"/>
      <c r="R51" s="10"/>
      <c r="S51" s="10"/>
    </row>
    <row r="52" spans="2:20" s="8" customFormat="1" x14ac:dyDescent="0.35">
      <c r="B52" s="21"/>
      <c r="C52" s="21"/>
      <c r="D52" s="28"/>
      <c r="E52" s="28"/>
      <c r="F52" s="9"/>
      <c r="G52" s="10"/>
      <c r="H52" s="10"/>
      <c r="I52" s="10"/>
      <c r="J52" s="10"/>
      <c r="K52" s="10"/>
      <c r="L52" s="11"/>
      <c r="M52" s="12"/>
      <c r="N52" s="13"/>
      <c r="O52" s="13"/>
      <c r="P52" s="12"/>
      <c r="Q52" s="10"/>
      <c r="R52" s="10"/>
      <c r="S52" s="10"/>
    </row>
    <row r="53" spans="2:20" x14ac:dyDescent="0.35">
      <c r="F53" s="4"/>
      <c r="G53" s="3">
        <f>SUM(G2:G52)</f>
        <v>22785000</v>
      </c>
      <c r="H53" s="3">
        <f>SUM(H2:H52)</f>
        <v>26274000</v>
      </c>
      <c r="I53" s="1">
        <f>SUM(I2:I52)</f>
        <v>17129000</v>
      </c>
      <c r="J53" s="1">
        <f>SUM(J2:J52)</f>
        <v>3923000</v>
      </c>
      <c r="K53" s="1">
        <f>SUM(K2:K52)</f>
        <v>13815000</v>
      </c>
      <c r="L53" s="1"/>
      <c r="N53" s="14">
        <f>SUM(N2:N52)</f>
        <v>365030</v>
      </c>
      <c r="O53" s="14">
        <f>SUM(O2:O52)</f>
        <v>1156375</v>
      </c>
      <c r="Q53" s="1">
        <f>SUM(Q2:Q52)</f>
        <v>169103</v>
      </c>
      <c r="R53" s="1">
        <f>SUM(R2:R52)</f>
        <v>54672</v>
      </c>
      <c r="S53" s="1">
        <f>SUM(S2:S52)</f>
        <v>134662</v>
      </c>
      <c r="T53" s="8"/>
    </row>
    <row r="54" spans="2:20" x14ac:dyDescent="0.35">
      <c r="F54" s="4"/>
      <c r="G54" s="1">
        <f>AVERAGE(G36,G36:G39,G33:G34,G30:G31,G24:G28,G2:G5,G7:G18,G20:G22)</f>
        <v>685909.09090909094</v>
      </c>
      <c r="H54" s="1">
        <f>AVERAGE(H36,H36:H39,H33:H34,H30:H31,H24:H28,H2:H5,H7:H18,H20:H22)</f>
        <v>803757.5757575758</v>
      </c>
      <c r="M54" s="2">
        <f>AVERAGE(M2:M5,M7:M18,M20:M22,M24:M31,M33:M36,M38:M39)</f>
        <v>8.5000000000000006E-2</v>
      </c>
      <c r="O54" s="15">
        <f>O53*0.25</f>
        <v>289093.75</v>
      </c>
      <c r="Q54" s="1">
        <f>AVERAGE(Q2:Q5,Q7:Q13,Q15:Q17,Q18,Q20:Q22,Q24,Q27:Q28,Q30)</f>
        <v>7686.5</v>
      </c>
      <c r="T54" s="8"/>
    </row>
    <row r="55" spans="2:20" x14ac:dyDescent="0.35">
      <c r="T55" s="8"/>
    </row>
    <row r="56" spans="2:20" x14ac:dyDescent="0.35">
      <c r="F56" s="4"/>
      <c r="J56" s="1"/>
      <c r="K56" s="1"/>
      <c r="M56"/>
      <c r="N56"/>
      <c r="O56"/>
    </row>
    <row r="57" spans="2:20" x14ac:dyDescent="0.35">
      <c r="F57" s="4"/>
      <c r="J57" s="1"/>
      <c r="K57" s="1"/>
      <c r="M57"/>
      <c r="N57"/>
      <c r="O57"/>
    </row>
    <row r="58" spans="2:20" x14ac:dyDescent="0.35">
      <c r="K5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17E2-726C-45DC-98F3-9E324AA392C1}">
  <dimension ref="A1:T75"/>
  <sheetViews>
    <sheetView workbookViewId="0">
      <selection activeCell="D6" sqref="D6"/>
    </sheetView>
  </sheetViews>
  <sheetFormatPr defaultRowHeight="14.5" x14ac:dyDescent="0.35"/>
  <cols>
    <col min="1" max="2" width="25.54296875" customWidth="1"/>
    <col min="3" max="3" width="4" bestFit="1" customWidth="1"/>
    <col min="4" max="4" width="22.81640625" bestFit="1" customWidth="1"/>
    <col min="5" max="5" width="25.54296875" customWidth="1"/>
    <col min="6" max="6" width="16" customWidth="1"/>
    <col min="7" max="7" width="16.453125" style="1" customWidth="1"/>
    <col min="8" max="8" width="17.54296875" style="1" customWidth="1"/>
    <col min="9" max="9" width="17.81640625" style="1" customWidth="1"/>
    <col min="10" max="11" width="17.26953125" customWidth="1"/>
    <col min="12" max="12" width="9.81640625" customWidth="1"/>
    <col min="13" max="13" width="7.1796875" style="2" customWidth="1"/>
    <col min="14" max="15" width="14.81640625" style="2" bestFit="1" customWidth="1"/>
    <col min="16" max="16" width="9.453125" customWidth="1"/>
    <col min="17" max="17" width="12.54296875" customWidth="1"/>
    <col min="18" max="18" width="12.81640625" customWidth="1"/>
    <col min="19" max="19" width="14.1796875" customWidth="1"/>
  </cols>
  <sheetData>
    <row r="1" spans="1:19" s="8" customFormat="1" x14ac:dyDescent="0.35">
      <c r="A1" s="5" t="s">
        <v>15</v>
      </c>
      <c r="B1" s="5" t="s">
        <v>231</v>
      </c>
      <c r="C1" s="5" t="s">
        <v>356</v>
      </c>
      <c r="D1" s="22" t="s">
        <v>365</v>
      </c>
      <c r="E1" s="22" t="s">
        <v>366</v>
      </c>
      <c r="F1" s="5" t="s">
        <v>20</v>
      </c>
      <c r="G1" s="6" t="s">
        <v>80</v>
      </c>
      <c r="H1" s="6" t="s">
        <v>33</v>
      </c>
      <c r="I1" s="6" t="s">
        <v>47</v>
      </c>
      <c r="J1" s="5" t="s">
        <v>37</v>
      </c>
      <c r="K1" s="5" t="s">
        <v>38</v>
      </c>
      <c r="L1" s="5" t="s">
        <v>21</v>
      </c>
      <c r="M1" s="7" t="s">
        <v>14</v>
      </c>
      <c r="N1" s="7" t="s">
        <v>45</v>
      </c>
      <c r="O1" s="7" t="s">
        <v>46</v>
      </c>
      <c r="P1" s="5" t="s">
        <v>19</v>
      </c>
      <c r="Q1" s="5" t="s">
        <v>22</v>
      </c>
      <c r="R1" s="5" t="s">
        <v>35</v>
      </c>
      <c r="S1" s="5" t="s">
        <v>36</v>
      </c>
    </row>
    <row r="2" spans="1:19" s="8" customFormat="1" x14ac:dyDescent="0.35">
      <c r="B2" s="21"/>
      <c r="C2" s="21"/>
      <c r="D2" s="21"/>
      <c r="E2" s="21"/>
      <c r="F2" s="9">
        <v>46023</v>
      </c>
      <c r="G2" s="10">
        <v>0</v>
      </c>
      <c r="H2" s="10">
        <v>0</v>
      </c>
      <c r="I2" s="10">
        <v>0</v>
      </c>
      <c r="J2" s="10">
        <f>G2-I2</f>
        <v>0</v>
      </c>
      <c r="K2" s="10">
        <f>H2-I2</f>
        <v>0</v>
      </c>
      <c r="L2" s="11">
        <v>1</v>
      </c>
      <c r="M2" s="12">
        <v>0.1</v>
      </c>
      <c r="N2" s="13">
        <f>J2*M2</f>
        <v>0</v>
      </c>
      <c r="O2" s="13">
        <f>L2*G2*M2</f>
        <v>0</v>
      </c>
      <c r="P2" s="12">
        <v>0.2</v>
      </c>
      <c r="Q2" s="10">
        <f>I2*L2*M2*P2</f>
        <v>0</v>
      </c>
      <c r="R2" s="10">
        <f>J2*L2*M2*P2</f>
        <v>0</v>
      </c>
      <c r="S2" s="10">
        <f>K2*L2*M2*P2</f>
        <v>0</v>
      </c>
    </row>
    <row r="3" spans="1:19" s="8" customFormat="1" x14ac:dyDescent="0.35">
      <c r="B3" s="21"/>
      <c r="C3" s="21"/>
      <c r="D3" s="21"/>
      <c r="E3" s="21"/>
      <c r="F3" s="9">
        <v>46024</v>
      </c>
      <c r="G3" s="10">
        <v>0</v>
      </c>
      <c r="H3" s="10">
        <v>0</v>
      </c>
      <c r="I3" s="10">
        <v>0</v>
      </c>
      <c r="J3" s="10">
        <f>G3-I3</f>
        <v>0</v>
      </c>
      <c r="K3" s="10">
        <f>H3-I3</f>
        <v>0</v>
      </c>
      <c r="L3" s="11">
        <v>1</v>
      </c>
      <c r="M3" s="12">
        <v>0.1</v>
      </c>
      <c r="N3" s="13">
        <f>J3*M3</f>
        <v>0</v>
      </c>
      <c r="O3" s="13">
        <f>L3*G3*M3</f>
        <v>0</v>
      </c>
      <c r="P3" s="12">
        <v>0.2</v>
      </c>
      <c r="Q3" s="10">
        <f>I3*L3*M3*P3</f>
        <v>0</v>
      </c>
      <c r="R3" s="10">
        <f>J3*L3*M3*P3</f>
        <v>0</v>
      </c>
      <c r="S3" s="10">
        <f>K3*L3*M3*P3</f>
        <v>0</v>
      </c>
    </row>
    <row r="4" spans="1:19" s="8" customFormat="1" x14ac:dyDescent="0.35">
      <c r="B4" s="21"/>
      <c r="C4" s="21"/>
      <c r="D4" s="21"/>
      <c r="E4" s="21"/>
      <c r="F4" s="9">
        <v>46025</v>
      </c>
      <c r="G4" s="10">
        <v>0</v>
      </c>
      <c r="H4" s="10">
        <v>0</v>
      </c>
      <c r="I4" s="10">
        <v>0</v>
      </c>
      <c r="J4" s="10">
        <f t="shared" ref="J4:J68" si="0">G4-I4</f>
        <v>0</v>
      </c>
      <c r="K4" s="10">
        <f t="shared" ref="K4:K68" si="1">H4-I4</f>
        <v>0</v>
      </c>
      <c r="L4" s="11">
        <v>1</v>
      </c>
      <c r="M4" s="12">
        <v>7.0000000000000007E-2</v>
      </c>
      <c r="N4" s="13">
        <f t="shared" ref="N4:N68" si="2">J4*M4</f>
        <v>0</v>
      </c>
      <c r="O4" s="13">
        <f t="shared" ref="O4:O68" si="3">L4*G4*M4</f>
        <v>0</v>
      </c>
      <c r="P4" s="12">
        <v>0.2</v>
      </c>
      <c r="Q4" s="10">
        <f t="shared" ref="Q4:Q68" si="4">I4*L4*M4*P4</f>
        <v>0</v>
      </c>
      <c r="R4" s="10">
        <f t="shared" ref="R4:R68" si="5">J4*L4*M4*P4</f>
        <v>0</v>
      </c>
      <c r="S4" s="10">
        <f t="shared" ref="S4:S68" si="6">K4*L4*M4*P4</f>
        <v>0</v>
      </c>
    </row>
    <row r="5" spans="1:19" s="8" customFormat="1" x14ac:dyDescent="0.35">
      <c r="B5" s="21"/>
      <c r="C5" s="21"/>
      <c r="D5" s="21"/>
      <c r="E5" s="21"/>
      <c r="F5" s="9">
        <v>46053</v>
      </c>
      <c r="G5" s="10">
        <v>0</v>
      </c>
      <c r="H5" s="10">
        <v>0</v>
      </c>
      <c r="I5" s="10">
        <v>0</v>
      </c>
      <c r="J5" s="10">
        <f t="shared" si="0"/>
        <v>0</v>
      </c>
      <c r="K5" s="10">
        <f t="shared" si="1"/>
        <v>0</v>
      </c>
      <c r="L5" s="11">
        <v>1</v>
      </c>
      <c r="M5" s="12">
        <v>0.1</v>
      </c>
      <c r="N5" s="13">
        <f t="shared" si="2"/>
        <v>0</v>
      </c>
      <c r="O5" s="13">
        <f t="shared" si="3"/>
        <v>0</v>
      </c>
      <c r="P5" s="12">
        <v>0.2</v>
      </c>
      <c r="Q5" s="10">
        <f t="shared" si="4"/>
        <v>0</v>
      </c>
      <c r="R5" s="10">
        <f t="shared" si="5"/>
        <v>0</v>
      </c>
      <c r="S5" s="10">
        <f t="shared" si="6"/>
        <v>0</v>
      </c>
    </row>
    <row r="6" spans="1:19" s="8" customFormat="1" x14ac:dyDescent="0.35">
      <c r="B6" s="21"/>
      <c r="C6" s="21"/>
      <c r="D6" s="21"/>
      <c r="E6" s="21"/>
      <c r="F6" s="9">
        <v>46054</v>
      </c>
      <c r="G6" s="10">
        <v>0</v>
      </c>
      <c r="H6" s="10">
        <v>0</v>
      </c>
      <c r="I6" s="10">
        <v>0</v>
      </c>
      <c r="J6" s="10">
        <f t="shared" si="0"/>
        <v>0</v>
      </c>
      <c r="K6" s="10">
        <f t="shared" si="1"/>
        <v>0</v>
      </c>
      <c r="L6" s="11">
        <v>1</v>
      </c>
      <c r="M6" s="12">
        <v>0.1</v>
      </c>
      <c r="N6" s="13">
        <f t="shared" si="2"/>
        <v>0</v>
      </c>
      <c r="O6" s="13">
        <f t="shared" si="3"/>
        <v>0</v>
      </c>
      <c r="P6" s="12">
        <v>0.2</v>
      </c>
      <c r="Q6" s="10">
        <f t="shared" si="4"/>
        <v>0</v>
      </c>
      <c r="R6" s="10">
        <f t="shared" si="5"/>
        <v>0</v>
      </c>
      <c r="S6" s="10">
        <f t="shared" si="6"/>
        <v>0</v>
      </c>
    </row>
    <row r="7" spans="1:19" s="8" customFormat="1" x14ac:dyDescent="0.35">
      <c r="B7" s="21"/>
      <c r="C7" s="21"/>
      <c r="D7" s="21"/>
      <c r="E7" s="21"/>
      <c r="F7" s="9">
        <v>46055</v>
      </c>
      <c r="G7" s="10">
        <v>0</v>
      </c>
      <c r="H7" s="10">
        <v>0</v>
      </c>
      <c r="I7" s="10">
        <v>0</v>
      </c>
      <c r="J7" s="10">
        <f t="shared" si="0"/>
        <v>0</v>
      </c>
      <c r="K7" s="10">
        <f t="shared" si="1"/>
        <v>0</v>
      </c>
      <c r="L7" s="11">
        <v>1</v>
      </c>
      <c r="M7" s="12">
        <v>0.1</v>
      </c>
      <c r="N7" s="13">
        <f t="shared" si="2"/>
        <v>0</v>
      </c>
      <c r="O7" s="13">
        <f t="shared" si="3"/>
        <v>0</v>
      </c>
      <c r="P7" s="12">
        <v>0.2</v>
      </c>
      <c r="Q7" s="10">
        <f t="shared" si="4"/>
        <v>0</v>
      </c>
      <c r="R7" s="10">
        <f t="shared" si="5"/>
        <v>0</v>
      </c>
      <c r="S7" s="10">
        <f t="shared" si="6"/>
        <v>0</v>
      </c>
    </row>
    <row r="8" spans="1:19" s="8" customFormat="1" x14ac:dyDescent="0.35">
      <c r="B8" s="21"/>
      <c r="C8" s="21"/>
      <c r="D8" s="21"/>
      <c r="E8" s="21"/>
      <c r="F8" s="9">
        <v>46056</v>
      </c>
      <c r="G8" s="10">
        <v>0</v>
      </c>
      <c r="H8" s="10">
        <v>0</v>
      </c>
      <c r="I8" s="10">
        <v>0</v>
      </c>
      <c r="J8" s="10">
        <f t="shared" si="0"/>
        <v>0</v>
      </c>
      <c r="K8" s="10">
        <f t="shared" si="1"/>
        <v>0</v>
      </c>
      <c r="L8" s="11">
        <v>1</v>
      </c>
      <c r="M8" s="12">
        <v>0.1</v>
      </c>
      <c r="N8" s="13">
        <f t="shared" si="2"/>
        <v>0</v>
      </c>
      <c r="O8" s="13">
        <f t="shared" si="3"/>
        <v>0</v>
      </c>
      <c r="P8" s="12">
        <v>0.2</v>
      </c>
      <c r="Q8" s="10">
        <f t="shared" si="4"/>
        <v>0</v>
      </c>
      <c r="R8" s="10">
        <f t="shared" si="5"/>
        <v>0</v>
      </c>
      <c r="S8" s="10">
        <f t="shared" si="6"/>
        <v>0</v>
      </c>
    </row>
    <row r="9" spans="1:19" s="8" customFormat="1" x14ac:dyDescent="0.35">
      <c r="B9" s="21"/>
      <c r="C9" s="21"/>
      <c r="D9" s="21"/>
      <c r="E9" s="21"/>
      <c r="F9" s="9">
        <v>46081</v>
      </c>
      <c r="G9" s="10">
        <v>0</v>
      </c>
      <c r="H9" s="10">
        <v>0</v>
      </c>
      <c r="I9" s="10">
        <v>0</v>
      </c>
      <c r="J9" s="10">
        <f t="shared" si="0"/>
        <v>0</v>
      </c>
      <c r="K9" s="10">
        <f t="shared" si="1"/>
        <v>0</v>
      </c>
      <c r="L9" s="11">
        <v>1</v>
      </c>
      <c r="M9" s="12">
        <v>0.1</v>
      </c>
      <c r="N9" s="13">
        <f t="shared" si="2"/>
        <v>0</v>
      </c>
      <c r="O9" s="13">
        <f t="shared" si="3"/>
        <v>0</v>
      </c>
      <c r="P9" s="12">
        <v>0.2</v>
      </c>
      <c r="Q9" s="10">
        <f t="shared" si="4"/>
        <v>0</v>
      </c>
      <c r="R9" s="10">
        <f t="shared" si="5"/>
        <v>0</v>
      </c>
      <c r="S9" s="10">
        <f t="shared" si="6"/>
        <v>0</v>
      </c>
    </row>
    <row r="10" spans="1:19" s="8" customFormat="1" x14ac:dyDescent="0.35">
      <c r="B10" s="21"/>
      <c r="C10" s="21"/>
      <c r="D10" s="21"/>
      <c r="E10" s="21"/>
      <c r="F10" s="9">
        <v>46082</v>
      </c>
      <c r="G10" s="10">
        <v>0</v>
      </c>
      <c r="H10" s="10">
        <v>0</v>
      </c>
      <c r="I10" s="10">
        <v>0</v>
      </c>
      <c r="J10" s="10">
        <f t="shared" si="0"/>
        <v>0</v>
      </c>
      <c r="K10" s="10">
        <f t="shared" si="1"/>
        <v>0</v>
      </c>
      <c r="L10" s="11">
        <v>1</v>
      </c>
      <c r="M10" s="12">
        <v>0.1</v>
      </c>
      <c r="N10" s="13">
        <f t="shared" si="2"/>
        <v>0</v>
      </c>
      <c r="O10" s="13">
        <f t="shared" si="3"/>
        <v>0</v>
      </c>
      <c r="P10" s="12">
        <v>0.2</v>
      </c>
      <c r="Q10" s="10">
        <f t="shared" si="4"/>
        <v>0</v>
      </c>
      <c r="R10" s="10">
        <f t="shared" si="5"/>
        <v>0</v>
      </c>
      <c r="S10" s="10">
        <f t="shared" si="6"/>
        <v>0</v>
      </c>
    </row>
    <row r="11" spans="1:19" s="8" customFormat="1" x14ac:dyDescent="0.35">
      <c r="B11" s="21"/>
      <c r="C11" s="21"/>
      <c r="D11" s="21"/>
      <c r="E11" s="21"/>
      <c r="F11" s="9">
        <v>46083</v>
      </c>
      <c r="G11" s="10">
        <v>0</v>
      </c>
      <c r="H11" s="10">
        <v>0</v>
      </c>
      <c r="I11" s="10">
        <v>0</v>
      </c>
      <c r="J11" s="10">
        <f t="shared" si="0"/>
        <v>0</v>
      </c>
      <c r="K11" s="10">
        <f t="shared" si="1"/>
        <v>0</v>
      </c>
      <c r="L11" s="11">
        <v>1</v>
      </c>
      <c r="M11" s="12">
        <v>0.1</v>
      </c>
      <c r="N11" s="13">
        <f t="shared" si="2"/>
        <v>0</v>
      </c>
      <c r="O11" s="13">
        <f t="shared" si="3"/>
        <v>0</v>
      </c>
      <c r="P11" s="12">
        <v>0.2</v>
      </c>
      <c r="Q11" s="10">
        <f t="shared" si="4"/>
        <v>0</v>
      </c>
      <c r="R11" s="10">
        <f t="shared" si="5"/>
        <v>0</v>
      </c>
      <c r="S11" s="10">
        <f t="shared" si="6"/>
        <v>0</v>
      </c>
    </row>
    <row r="12" spans="1:19" s="8" customFormat="1" x14ac:dyDescent="0.35">
      <c r="B12" s="21"/>
      <c r="C12" s="21"/>
      <c r="D12" s="21"/>
      <c r="E12" s="21"/>
      <c r="F12" s="9">
        <v>46084</v>
      </c>
      <c r="G12" s="10">
        <v>0</v>
      </c>
      <c r="H12" s="10">
        <v>0</v>
      </c>
      <c r="I12" s="10">
        <v>0</v>
      </c>
      <c r="J12" s="10">
        <f t="shared" si="0"/>
        <v>0</v>
      </c>
      <c r="K12" s="10">
        <f t="shared" si="1"/>
        <v>0</v>
      </c>
      <c r="L12" s="11">
        <v>1</v>
      </c>
      <c r="M12" s="12">
        <v>0.1</v>
      </c>
      <c r="N12" s="13">
        <f t="shared" si="2"/>
        <v>0</v>
      </c>
      <c r="O12" s="13">
        <f t="shared" si="3"/>
        <v>0</v>
      </c>
      <c r="P12" s="12">
        <v>0.2</v>
      </c>
      <c r="Q12" s="10">
        <f t="shared" si="4"/>
        <v>0</v>
      </c>
      <c r="R12" s="10">
        <f t="shared" si="5"/>
        <v>0</v>
      </c>
      <c r="S12" s="10">
        <f t="shared" si="6"/>
        <v>0</v>
      </c>
    </row>
    <row r="13" spans="1:19" s="8" customFormat="1" x14ac:dyDescent="0.35">
      <c r="B13" s="21"/>
      <c r="C13" s="21"/>
      <c r="D13" s="21"/>
      <c r="E13" s="21"/>
      <c r="F13" s="9">
        <v>46112</v>
      </c>
      <c r="G13" s="10">
        <v>0</v>
      </c>
      <c r="H13" s="10">
        <v>0</v>
      </c>
      <c r="I13" s="10">
        <v>0</v>
      </c>
      <c r="J13" s="10">
        <f t="shared" si="0"/>
        <v>0</v>
      </c>
      <c r="K13" s="10">
        <f t="shared" si="1"/>
        <v>0</v>
      </c>
      <c r="L13" s="11">
        <v>1</v>
      </c>
      <c r="M13" s="12">
        <v>0.1</v>
      </c>
      <c r="N13" s="13">
        <f t="shared" si="2"/>
        <v>0</v>
      </c>
      <c r="O13" s="13">
        <f t="shared" si="3"/>
        <v>0</v>
      </c>
      <c r="P13" s="12">
        <v>0.2</v>
      </c>
      <c r="Q13" s="10">
        <f t="shared" si="4"/>
        <v>0</v>
      </c>
      <c r="R13" s="10">
        <f t="shared" si="5"/>
        <v>0</v>
      </c>
      <c r="S13" s="10">
        <f t="shared" si="6"/>
        <v>0</v>
      </c>
    </row>
    <row r="14" spans="1:19" s="8" customFormat="1" x14ac:dyDescent="0.35">
      <c r="B14" s="21"/>
      <c r="C14" s="21"/>
      <c r="D14" s="21"/>
      <c r="E14" s="21"/>
      <c r="F14" s="9">
        <v>46113</v>
      </c>
      <c r="G14" s="10">
        <v>0</v>
      </c>
      <c r="H14" s="10">
        <v>0</v>
      </c>
      <c r="I14" s="10">
        <v>0</v>
      </c>
      <c r="J14" s="10">
        <f t="shared" si="0"/>
        <v>0</v>
      </c>
      <c r="K14" s="10">
        <f t="shared" si="1"/>
        <v>0</v>
      </c>
      <c r="L14" s="11">
        <v>1</v>
      </c>
      <c r="M14" s="12">
        <v>0.1</v>
      </c>
      <c r="N14" s="13">
        <f t="shared" si="2"/>
        <v>0</v>
      </c>
      <c r="O14" s="13">
        <f t="shared" si="3"/>
        <v>0</v>
      </c>
      <c r="P14" s="12">
        <v>0.2</v>
      </c>
      <c r="Q14" s="10">
        <f t="shared" si="4"/>
        <v>0</v>
      </c>
      <c r="R14" s="10">
        <f t="shared" si="5"/>
        <v>0</v>
      </c>
      <c r="S14" s="10">
        <f t="shared" si="6"/>
        <v>0</v>
      </c>
    </row>
    <row r="15" spans="1:19" s="8" customFormat="1" x14ac:dyDescent="0.35">
      <c r="B15" s="21"/>
      <c r="C15" s="21"/>
      <c r="D15" s="21"/>
      <c r="E15" s="21"/>
      <c r="F15" s="9">
        <v>46114</v>
      </c>
      <c r="G15" s="10">
        <v>0</v>
      </c>
      <c r="H15" s="10">
        <v>0</v>
      </c>
      <c r="I15" s="10">
        <v>0</v>
      </c>
      <c r="J15" s="10">
        <f t="shared" si="0"/>
        <v>0</v>
      </c>
      <c r="K15" s="10">
        <f t="shared" si="1"/>
        <v>0</v>
      </c>
      <c r="L15" s="11">
        <v>1</v>
      </c>
      <c r="M15" s="12">
        <v>0.1</v>
      </c>
      <c r="N15" s="13">
        <f t="shared" si="2"/>
        <v>0</v>
      </c>
      <c r="O15" s="13">
        <f t="shared" si="3"/>
        <v>0</v>
      </c>
      <c r="P15" s="12">
        <v>0.2</v>
      </c>
      <c r="Q15" s="10">
        <f t="shared" si="4"/>
        <v>0</v>
      </c>
      <c r="R15" s="10">
        <f t="shared" si="5"/>
        <v>0</v>
      </c>
      <c r="S15" s="10">
        <f t="shared" si="6"/>
        <v>0</v>
      </c>
    </row>
    <row r="16" spans="1:19" s="8" customFormat="1" x14ac:dyDescent="0.35">
      <c r="B16" s="21"/>
      <c r="C16" s="21"/>
      <c r="D16" s="21"/>
      <c r="E16" s="21"/>
      <c r="F16" s="9">
        <v>46115</v>
      </c>
      <c r="G16" s="10">
        <v>0</v>
      </c>
      <c r="H16" s="10">
        <v>0</v>
      </c>
      <c r="I16" s="10">
        <v>0</v>
      </c>
      <c r="J16" s="10">
        <f t="shared" si="0"/>
        <v>0</v>
      </c>
      <c r="K16" s="10">
        <f t="shared" si="1"/>
        <v>0</v>
      </c>
      <c r="L16" s="11">
        <v>1</v>
      </c>
      <c r="M16" s="12">
        <v>0.1</v>
      </c>
      <c r="N16" s="13">
        <f t="shared" si="2"/>
        <v>0</v>
      </c>
      <c r="O16" s="13">
        <f t="shared" si="3"/>
        <v>0</v>
      </c>
      <c r="P16" s="12">
        <v>0.2</v>
      </c>
      <c r="Q16" s="10">
        <f t="shared" si="4"/>
        <v>0</v>
      </c>
      <c r="R16" s="10">
        <f t="shared" si="5"/>
        <v>0</v>
      </c>
      <c r="S16" s="10">
        <f t="shared" si="6"/>
        <v>0</v>
      </c>
    </row>
    <row r="17" spans="2:19" s="8" customFormat="1" x14ac:dyDescent="0.35">
      <c r="B17" s="21"/>
      <c r="C17" s="21"/>
      <c r="D17" s="21"/>
      <c r="E17" s="21"/>
      <c r="F17" s="31" t="s">
        <v>266</v>
      </c>
      <c r="G17" s="10">
        <v>0</v>
      </c>
      <c r="H17" s="10">
        <v>0</v>
      </c>
      <c r="I17" s="10">
        <v>0</v>
      </c>
      <c r="J17" s="10">
        <f t="shared" si="0"/>
        <v>0</v>
      </c>
      <c r="K17" s="10">
        <f t="shared" si="1"/>
        <v>0</v>
      </c>
      <c r="L17" s="11">
        <v>1</v>
      </c>
      <c r="M17" s="12">
        <v>0.1</v>
      </c>
      <c r="N17" s="13">
        <f t="shared" si="2"/>
        <v>0</v>
      </c>
      <c r="O17" s="13">
        <f t="shared" si="3"/>
        <v>0</v>
      </c>
      <c r="P17" s="12">
        <v>0.2</v>
      </c>
      <c r="Q17" s="10">
        <f t="shared" si="4"/>
        <v>0</v>
      </c>
      <c r="R17" s="10">
        <f t="shared" si="5"/>
        <v>0</v>
      </c>
      <c r="S17" s="10">
        <f t="shared" si="6"/>
        <v>0</v>
      </c>
    </row>
    <row r="18" spans="2:19" s="8" customFormat="1" x14ac:dyDescent="0.35">
      <c r="B18" s="21"/>
      <c r="C18" s="21"/>
      <c r="D18" s="21"/>
      <c r="E18" s="21"/>
      <c r="F18" s="9">
        <v>46143</v>
      </c>
      <c r="G18" s="10">
        <v>0</v>
      </c>
      <c r="H18" s="10">
        <v>0</v>
      </c>
      <c r="I18" s="10">
        <v>0</v>
      </c>
      <c r="J18" s="10">
        <f t="shared" si="0"/>
        <v>0</v>
      </c>
      <c r="K18" s="10">
        <f t="shared" si="1"/>
        <v>0</v>
      </c>
      <c r="L18" s="11">
        <v>1</v>
      </c>
      <c r="M18" s="12">
        <v>0.1</v>
      </c>
      <c r="N18" s="13">
        <v>0</v>
      </c>
      <c r="O18" s="13">
        <v>0</v>
      </c>
      <c r="P18" s="12">
        <v>0.2</v>
      </c>
      <c r="Q18" s="10">
        <f t="shared" si="4"/>
        <v>0</v>
      </c>
      <c r="R18" s="10">
        <f t="shared" si="5"/>
        <v>0</v>
      </c>
      <c r="S18" s="10">
        <f t="shared" si="6"/>
        <v>0</v>
      </c>
    </row>
    <row r="19" spans="2:19" s="8" customFormat="1" x14ac:dyDescent="0.35">
      <c r="B19" s="21"/>
      <c r="C19" s="21"/>
      <c r="D19" s="21"/>
      <c r="E19" s="21"/>
      <c r="F19" s="9">
        <v>46144</v>
      </c>
      <c r="G19" s="10">
        <v>0</v>
      </c>
      <c r="H19" s="10">
        <v>0</v>
      </c>
      <c r="I19" s="10">
        <v>0</v>
      </c>
      <c r="J19" s="10">
        <f t="shared" si="0"/>
        <v>0</v>
      </c>
      <c r="K19" s="10">
        <f t="shared" si="1"/>
        <v>0</v>
      </c>
      <c r="L19" s="11">
        <v>1</v>
      </c>
      <c r="M19" s="12">
        <v>0.1</v>
      </c>
      <c r="N19" s="13">
        <f t="shared" si="2"/>
        <v>0</v>
      </c>
      <c r="O19" s="13">
        <f t="shared" si="3"/>
        <v>0</v>
      </c>
      <c r="P19" s="12">
        <v>0.2</v>
      </c>
      <c r="Q19" s="10">
        <f t="shared" si="4"/>
        <v>0</v>
      </c>
      <c r="R19" s="10">
        <f t="shared" si="5"/>
        <v>0</v>
      </c>
      <c r="S19" s="10">
        <f t="shared" si="6"/>
        <v>0</v>
      </c>
    </row>
    <row r="20" spans="2:19" s="8" customFormat="1" x14ac:dyDescent="0.35">
      <c r="B20" s="21"/>
      <c r="C20" s="21"/>
      <c r="D20" s="21"/>
      <c r="E20" s="21"/>
      <c r="F20" s="9">
        <v>46145</v>
      </c>
      <c r="G20" s="10">
        <v>0</v>
      </c>
      <c r="H20" s="10">
        <v>0</v>
      </c>
      <c r="I20" s="10">
        <v>0</v>
      </c>
      <c r="J20" s="10">
        <f t="shared" si="0"/>
        <v>0</v>
      </c>
      <c r="K20" s="10">
        <v>0</v>
      </c>
      <c r="L20" s="11">
        <v>1</v>
      </c>
      <c r="M20" s="12">
        <v>0.1</v>
      </c>
      <c r="N20" s="13">
        <f t="shared" si="2"/>
        <v>0</v>
      </c>
      <c r="O20" s="13">
        <f t="shared" si="3"/>
        <v>0</v>
      </c>
      <c r="P20" s="12">
        <v>0.2</v>
      </c>
      <c r="Q20" s="10">
        <f t="shared" si="4"/>
        <v>0</v>
      </c>
      <c r="R20" s="10">
        <f t="shared" si="5"/>
        <v>0</v>
      </c>
      <c r="S20" s="10">
        <f t="shared" si="6"/>
        <v>0</v>
      </c>
    </row>
    <row r="21" spans="2:19" s="8" customFormat="1" x14ac:dyDescent="0.35">
      <c r="B21" s="21"/>
      <c r="C21" s="21"/>
      <c r="D21" s="21"/>
      <c r="E21" s="21"/>
      <c r="F21" s="9">
        <v>46173</v>
      </c>
      <c r="G21" s="10">
        <v>0</v>
      </c>
      <c r="H21" s="10">
        <v>0</v>
      </c>
      <c r="I21" s="10">
        <v>0</v>
      </c>
      <c r="J21" s="10">
        <f t="shared" si="0"/>
        <v>0</v>
      </c>
      <c r="K21" s="10">
        <f t="shared" si="1"/>
        <v>0</v>
      </c>
      <c r="L21" s="11">
        <v>1</v>
      </c>
      <c r="M21" s="12">
        <v>0.1</v>
      </c>
      <c r="N21" s="13">
        <f t="shared" si="2"/>
        <v>0</v>
      </c>
      <c r="O21" s="13">
        <f t="shared" si="3"/>
        <v>0</v>
      </c>
      <c r="P21" s="12">
        <v>0.2</v>
      </c>
      <c r="Q21" s="10">
        <f t="shared" si="4"/>
        <v>0</v>
      </c>
      <c r="R21" s="10">
        <f t="shared" si="5"/>
        <v>0</v>
      </c>
      <c r="S21" s="10">
        <f t="shared" si="6"/>
        <v>0</v>
      </c>
    </row>
    <row r="22" spans="2:19" s="8" customFormat="1" x14ac:dyDescent="0.35">
      <c r="B22" s="21"/>
      <c r="C22" s="21"/>
      <c r="D22" s="21"/>
      <c r="E22" s="21"/>
      <c r="F22" s="9">
        <v>46174</v>
      </c>
      <c r="G22" s="10">
        <v>0</v>
      </c>
      <c r="H22" s="10">
        <v>0</v>
      </c>
      <c r="I22" s="10">
        <v>0</v>
      </c>
      <c r="J22" s="10">
        <f t="shared" si="0"/>
        <v>0</v>
      </c>
      <c r="K22" s="10">
        <f t="shared" si="1"/>
        <v>0</v>
      </c>
      <c r="L22" s="11">
        <v>1</v>
      </c>
      <c r="M22" s="12">
        <v>0.1</v>
      </c>
      <c r="N22" s="13">
        <f t="shared" si="2"/>
        <v>0</v>
      </c>
      <c r="O22" s="13">
        <f t="shared" si="3"/>
        <v>0</v>
      </c>
      <c r="P22" s="12">
        <v>0.2</v>
      </c>
      <c r="Q22" s="10">
        <f t="shared" si="4"/>
        <v>0</v>
      </c>
      <c r="R22" s="10">
        <f t="shared" si="5"/>
        <v>0</v>
      </c>
      <c r="S22" s="10">
        <f t="shared" si="6"/>
        <v>0</v>
      </c>
    </row>
    <row r="23" spans="2:19" s="8" customFormat="1" x14ac:dyDescent="0.35">
      <c r="B23" s="21"/>
      <c r="C23" s="21"/>
      <c r="D23" s="21"/>
      <c r="E23" s="21"/>
      <c r="F23" s="9">
        <v>46175</v>
      </c>
      <c r="G23" s="10">
        <v>0</v>
      </c>
      <c r="H23" s="10">
        <v>0</v>
      </c>
      <c r="I23" s="10">
        <v>0</v>
      </c>
      <c r="J23" s="10">
        <f t="shared" si="0"/>
        <v>0</v>
      </c>
      <c r="K23" s="10">
        <f t="shared" si="1"/>
        <v>0</v>
      </c>
      <c r="L23" s="11">
        <v>1</v>
      </c>
      <c r="M23" s="12">
        <v>0.1</v>
      </c>
      <c r="N23" s="13">
        <f t="shared" si="2"/>
        <v>0</v>
      </c>
      <c r="O23" s="13">
        <f t="shared" si="3"/>
        <v>0</v>
      </c>
      <c r="P23" s="12">
        <v>0.2</v>
      </c>
      <c r="Q23" s="10">
        <f t="shared" si="4"/>
        <v>0</v>
      </c>
      <c r="R23" s="10">
        <f t="shared" si="5"/>
        <v>0</v>
      </c>
      <c r="S23" s="10">
        <f t="shared" si="6"/>
        <v>0</v>
      </c>
    </row>
    <row r="24" spans="2:19" s="8" customFormat="1" x14ac:dyDescent="0.35">
      <c r="B24" s="21"/>
      <c r="C24" s="21"/>
      <c r="D24" s="21"/>
      <c r="E24" s="21"/>
      <c r="F24" s="9">
        <v>46176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1">
        <v>1</v>
      </c>
      <c r="M24" s="12">
        <v>0.1</v>
      </c>
      <c r="N24" s="13">
        <f t="shared" si="2"/>
        <v>0</v>
      </c>
      <c r="O24" s="13">
        <f t="shared" si="3"/>
        <v>0</v>
      </c>
      <c r="P24" s="12">
        <v>0.2</v>
      </c>
      <c r="Q24" s="10">
        <f t="shared" si="4"/>
        <v>0</v>
      </c>
      <c r="R24" s="10">
        <f t="shared" si="5"/>
        <v>0</v>
      </c>
      <c r="S24" s="10">
        <f t="shared" si="6"/>
        <v>0</v>
      </c>
    </row>
    <row r="25" spans="2:19" s="8" customFormat="1" x14ac:dyDescent="0.35">
      <c r="B25" s="21"/>
      <c r="C25" s="21"/>
      <c r="D25" s="21"/>
      <c r="E25" s="21"/>
      <c r="F25" s="31" t="s">
        <v>267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1">
        <v>1</v>
      </c>
      <c r="M25" s="12">
        <v>0.1</v>
      </c>
      <c r="N25" s="13">
        <f t="shared" si="2"/>
        <v>0</v>
      </c>
      <c r="O25" s="13">
        <f t="shared" si="3"/>
        <v>0</v>
      </c>
      <c r="P25" s="12">
        <v>0.2</v>
      </c>
      <c r="Q25" s="10">
        <f t="shared" si="4"/>
        <v>0</v>
      </c>
      <c r="R25" s="10">
        <f t="shared" si="5"/>
        <v>0</v>
      </c>
      <c r="S25" s="10">
        <f t="shared" si="6"/>
        <v>0</v>
      </c>
    </row>
    <row r="26" spans="2:19" s="8" customFormat="1" x14ac:dyDescent="0.35">
      <c r="B26" s="21"/>
      <c r="C26" s="21"/>
      <c r="D26" s="21"/>
      <c r="E26" s="21"/>
      <c r="F26" s="9">
        <v>46204</v>
      </c>
      <c r="G26" s="10">
        <v>0</v>
      </c>
      <c r="H26" s="10">
        <v>0</v>
      </c>
      <c r="I26" s="10">
        <v>0</v>
      </c>
      <c r="J26" s="10">
        <f t="shared" si="0"/>
        <v>0</v>
      </c>
      <c r="K26" s="10">
        <f t="shared" si="1"/>
        <v>0</v>
      </c>
      <c r="L26" s="11">
        <v>1</v>
      </c>
      <c r="M26" s="12">
        <v>0.1</v>
      </c>
      <c r="N26" s="13">
        <f t="shared" si="2"/>
        <v>0</v>
      </c>
      <c r="O26" s="13">
        <f t="shared" si="3"/>
        <v>0</v>
      </c>
      <c r="P26" s="12">
        <v>0.2</v>
      </c>
      <c r="Q26" s="10">
        <f t="shared" si="4"/>
        <v>0</v>
      </c>
      <c r="R26" s="10">
        <f t="shared" si="5"/>
        <v>0</v>
      </c>
      <c r="S26" s="10">
        <f t="shared" si="6"/>
        <v>0</v>
      </c>
    </row>
    <row r="27" spans="2:19" s="8" customFormat="1" x14ac:dyDescent="0.35">
      <c r="B27" s="21"/>
      <c r="C27" s="21"/>
      <c r="D27" s="21"/>
      <c r="E27" s="21"/>
      <c r="F27" s="9">
        <v>46205</v>
      </c>
      <c r="G27" s="10">
        <v>0</v>
      </c>
      <c r="H27" s="10">
        <v>0</v>
      </c>
      <c r="I27" s="10">
        <v>0</v>
      </c>
      <c r="J27" s="10">
        <f t="shared" si="0"/>
        <v>0</v>
      </c>
      <c r="K27" s="10">
        <f t="shared" si="1"/>
        <v>0</v>
      </c>
      <c r="L27" s="11">
        <v>1</v>
      </c>
      <c r="M27" s="12">
        <v>0.1</v>
      </c>
      <c r="N27" s="13">
        <f t="shared" si="2"/>
        <v>0</v>
      </c>
      <c r="O27" s="13">
        <f t="shared" si="3"/>
        <v>0</v>
      </c>
      <c r="P27" s="12">
        <v>0.2</v>
      </c>
      <c r="Q27" s="10">
        <f t="shared" si="4"/>
        <v>0</v>
      </c>
      <c r="R27" s="10">
        <f t="shared" si="5"/>
        <v>0</v>
      </c>
      <c r="S27" s="10">
        <f t="shared" si="6"/>
        <v>0</v>
      </c>
    </row>
    <row r="28" spans="2:19" s="8" customFormat="1" x14ac:dyDescent="0.35">
      <c r="B28" s="21"/>
      <c r="C28" s="21"/>
      <c r="D28" s="21"/>
      <c r="E28" s="21"/>
      <c r="F28" s="9">
        <v>46206</v>
      </c>
      <c r="G28" s="10">
        <v>0</v>
      </c>
      <c r="H28" s="10">
        <v>0</v>
      </c>
      <c r="I28" s="10">
        <v>0</v>
      </c>
      <c r="J28" s="10">
        <f t="shared" si="0"/>
        <v>0</v>
      </c>
      <c r="K28" s="10">
        <f t="shared" si="1"/>
        <v>0</v>
      </c>
      <c r="L28" s="11">
        <v>1</v>
      </c>
      <c r="M28" s="12">
        <v>0.1</v>
      </c>
      <c r="N28" s="13">
        <f t="shared" si="2"/>
        <v>0</v>
      </c>
      <c r="O28" s="13">
        <f t="shared" si="3"/>
        <v>0</v>
      </c>
      <c r="P28" s="12">
        <v>0.2</v>
      </c>
      <c r="Q28" s="10">
        <f t="shared" si="4"/>
        <v>0</v>
      </c>
      <c r="R28" s="10">
        <f t="shared" si="5"/>
        <v>0</v>
      </c>
      <c r="S28" s="10">
        <f t="shared" si="6"/>
        <v>0</v>
      </c>
    </row>
    <row r="29" spans="2:19" s="8" customFormat="1" x14ac:dyDescent="0.35">
      <c r="B29" s="21"/>
      <c r="C29" s="21"/>
      <c r="D29" s="21"/>
      <c r="E29" s="21"/>
      <c r="F29" s="9">
        <v>46234</v>
      </c>
      <c r="G29" s="10">
        <v>0</v>
      </c>
      <c r="H29" s="10">
        <v>0</v>
      </c>
      <c r="I29" s="10">
        <v>0</v>
      </c>
      <c r="J29" s="10">
        <f t="shared" si="0"/>
        <v>0</v>
      </c>
      <c r="K29" s="10">
        <f t="shared" si="1"/>
        <v>0</v>
      </c>
      <c r="L29" s="11">
        <v>1</v>
      </c>
      <c r="M29" s="12">
        <v>0.1</v>
      </c>
      <c r="N29" s="13">
        <f t="shared" si="2"/>
        <v>0</v>
      </c>
      <c r="O29" s="13">
        <f t="shared" si="3"/>
        <v>0</v>
      </c>
      <c r="P29" s="12">
        <v>0.2</v>
      </c>
      <c r="Q29" s="10">
        <f t="shared" si="4"/>
        <v>0</v>
      </c>
      <c r="R29" s="10">
        <f t="shared" si="5"/>
        <v>0</v>
      </c>
      <c r="S29" s="10">
        <f t="shared" si="6"/>
        <v>0</v>
      </c>
    </row>
    <row r="30" spans="2:19" s="8" customFormat="1" x14ac:dyDescent="0.35">
      <c r="B30" s="21"/>
      <c r="C30" s="21"/>
      <c r="D30" s="21"/>
      <c r="E30" s="21"/>
      <c r="F30" s="9">
        <v>46235</v>
      </c>
      <c r="G30" s="10">
        <v>0</v>
      </c>
      <c r="H30" s="10">
        <v>0</v>
      </c>
      <c r="I30" s="10">
        <v>0</v>
      </c>
      <c r="J30" s="10">
        <f t="shared" si="0"/>
        <v>0</v>
      </c>
      <c r="K30" s="10">
        <f t="shared" si="1"/>
        <v>0</v>
      </c>
      <c r="L30" s="11">
        <v>1</v>
      </c>
      <c r="M30" s="12">
        <v>0.1</v>
      </c>
      <c r="N30" s="13">
        <f t="shared" si="2"/>
        <v>0</v>
      </c>
      <c r="O30" s="13">
        <f t="shared" si="3"/>
        <v>0</v>
      </c>
      <c r="P30" s="12">
        <v>0.2</v>
      </c>
      <c r="Q30" s="10">
        <f t="shared" si="4"/>
        <v>0</v>
      </c>
      <c r="R30" s="10">
        <f t="shared" si="5"/>
        <v>0</v>
      </c>
      <c r="S30" s="10">
        <f t="shared" si="6"/>
        <v>0</v>
      </c>
    </row>
    <row r="31" spans="2:19" s="8" customFormat="1" x14ac:dyDescent="0.35">
      <c r="B31" s="21"/>
      <c r="C31" s="21"/>
      <c r="D31" s="21"/>
      <c r="E31" s="21"/>
      <c r="F31" s="9">
        <v>46236</v>
      </c>
      <c r="G31" s="10">
        <v>0</v>
      </c>
      <c r="H31" s="10">
        <v>0</v>
      </c>
      <c r="I31" s="10">
        <v>0</v>
      </c>
      <c r="J31" s="10">
        <v>0</v>
      </c>
      <c r="K31" s="10">
        <f t="shared" si="1"/>
        <v>0</v>
      </c>
      <c r="L31" s="11">
        <v>1</v>
      </c>
      <c r="M31" s="12">
        <v>0.1</v>
      </c>
      <c r="N31" s="13">
        <f t="shared" si="2"/>
        <v>0</v>
      </c>
      <c r="O31" s="13">
        <f t="shared" si="3"/>
        <v>0</v>
      </c>
      <c r="P31" s="12">
        <v>0.2</v>
      </c>
      <c r="Q31" s="10">
        <f t="shared" si="4"/>
        <v>0</v>
      </c>
      <c r="R31" s="10">
        <f t="shared" si="5"/>
        <v>0</v>
      </c>
      <c r="S31" s="10">
        <f t="shared" si="6"/>
        <v>0</v>
      </c>
    </row>
    <row r="32" spans="2:19" s="8" customFormat="1" x14ac:dyDescent="0.35">
      <c r="B32" s="21"/>
      <c r="C32" s="21"/>
      <c r="D32" s="21"/>
      <c r="E32" s="21"/>
      <c r="F32" s="9">
        <v>46237</v>
      </c>
      <c r="G32" s="10">
        <v>0</v>
      </c>
      <c r="H32" s="10">
        <v>0</v>
      </c>
      <c r="I32" s="10">
        <v>0</v>
      </c>
      <c r="J32" s="10">
        <v>0</v>
      </c>
      <c r="K32" s="10">
        <f t="shared" si="1"/>
        <v>0</v>
      </c>
      <c r="L32" s="11">
        <v>1</v>
      </c>
      <c r="M32" s="12">
        <v>0.1</v>
      </c>
      <c r="N32" s="13">
        <f t="shared" si="2"/>
        <v>0</v>
      </c>
      <c r="O32" s="13">
        <f t="shared" si="3"/>
        <v>0</v>
      </c>
      <c r="P32" s="12">
        <v>0.2</v>
      </c>
      <c r="Q32" s="10">
        <f t="shared" si="4"/>
        <v>0</v>
      </c>
      <c r="R32" s="10">
        <f t="shared" si="5"/>
        <v>0</v>
      </c>
      <c r="S32" s="10">
        <f t="shared" si="6"/>
        <v>0</v>
      </c>
    </row>
    <row r="33" spans="2:19" s="8" customFormat="1" x14ac:dyDescent="0.35">
      <c r="B33" s="21"/>
      <c r="C33" s="21"/>
      <c r="D33" s="21"/>
      <c r="E33" s="21"/>
      <c r="F33" s="9">
        <v>46265</v>
      </c>
      <c r="G33" s="10">
        <v>0</v>
      </c>
      <c r="H33" s="10">
        <v>0</v>
      </c>
      <c r="I33" s="10">
        <v>0</v>
      </c>
      <c r="J33" s="10">
        <v>0</v>
      </c>
      <c r="K33" s="10">
        <f t="shared" si="1"/>
        <v>0</v>
      </c>
      <c r="L33" s="11">
        <v>1</v>
      </c>
      <c r="M33" s="12">
        <v>0.1</v>
      </c>
      <c r="N33" s="13">
        <f t="shared" si="2"/>
        <v>0</v>
      </c>
      <c r="O33" s="13">
        <f t="shared" si="3"/>
        <v>0</v>
      </c>
      <c r="P33" s="12">
        <v>0.2</v>
      </c>
      <c r="Q33" s="10">
        <f t="shared" si="4"/>
        <v>0</v>
      </c>
      <c r="R33" s="10">
        <f t="shared" si="5"/>
        <v>0</v>
      </c>
      <c r="S33" s="10">
        <f t="shared" si="6"/>
        <v>0</v>
      </c>
    </row>
    <row r="34" spans="2:19" s="8" customFormat="1" x14ac:dyDescent="0.35">
      <c r="B34" s="21"/>
      <c r="C34" s="21"/>
      <c r="D34" s="21"/>
      <c r="E34" s="21"/>
      <c r="F34" s="9">
        <v>46266</v>
      </c>
      <c r="G34" s="10">
        <v>0</v>
      </c>
      <c r="H34" s="10">
        <v>0</v>
      </c>
      <c r="I34" s="10">
        <v>0</v>
      </c>
      <c r="J34" s="10">
        <v>0</v>
      </c>
      <c r="K34" s="10">
        <f t="shared" si="1"/>
        <v>0</v>
      </c>
      <c r="L34" s="11">
        <v>1</v>
      </c>
      <c r="M34" s="12">
        <v>0.1</v>
      </c>
      <c r="N34" s="13">
        <f t="shared" si="2"/>
        <v>0</v>
      </c>
      <c r="O34" s="13">
        <f t="shared" si="3"/>
        <v>0</v>
      </c>
      <c r="P34" s="12">
        <v>0.2</v>
      </c>
      <c r="Q34" s="10">
        <f t="shared" si="4"/>
        <v>0</v>
      </c>
      <c r="R34" s="10">
        <f t="shared" si="5"/>
        <v>0</v>
      </c>
      <c r="S34" s="10">
        <f t="shared" si="6"/>
        <v>0</v>
      </c>
    </row>
    <row r="35" spans="2:19" s="8" customFormat="1" x14ac:dyDescent="0.35">
      <c r="B35" s="21"/>
      <c r="C35" s="21"/>
      <c r="D35" s="21"/>
      <c r="E35" s="21"/>
      <c r="F35" s="9">
        <v>46267</v>
      </c>
      <c r="G35" s="10">
        <v>0</v>
      </c>
      <c r="H35" s="10">
        <v>0</v>
      </c>
      <c r="I35" s="10">
        <v>0</v>
      </c>
      <c r="J35" s="10">
        <f t="shared" si="0"/>
        <v>0</v>
      </c>
      <c r="K35" s="10">
        <f t="shared" si="1"/>
        <v>0</v>
      </c>
      <c r="L35" s="11">
        <v>1</v>
      </c>
      <c r="M35" s="12">
        <v>0.1</v>
      </c>
      <c r="N35" s="13">
        <f t="shared" si="2"/>
        <v>0</v>
      </c>
      <c r="O35" s="13">
        <f t="shared" si="3"/>
        <v>0</v>
      </c>
      <c r="P35" s="12">
        <v>0.2</v>
      </c>
      <c r="Q35" s="10">
        <f t="shared" si="4"/>
        <v>0</v>
      </c>
      <c r="R35" s="10">
        <f t="shared" si="5"/>
        <v>0</v>
      </c>
      <c r="S35" s="10">
        <f t="shared" si="6"/>
        <v>0</v>
      </c>
    </row>
    <row r="36" spans="2:19" s="8" customFormat="1" x14ac:dyDescent="0.35">
      <c r="B36" s="21"/>
      <c r="C36" s="21"/>
      <c r="D36" s="21"/>
      <c r="E36" s="21"/>
      <c r="F36" s="9">
        <v>46268</v>
      </c>
      <c r="G36" s="10">
        <v>0</v>
      </c>
      <c r="H36" s="10">
        <v>0</v>
      </c>
      <c r="I36" s="10">
        <v>0</v>
      </c>
      <c r="J36" s="10">
        <f t="shared" si="0"/>
        <v>0</v>
      </c>
      <c r="K36" s="10">
        <f t="shared" si="1"/>
        <v>0</v>
      </c>
      <c r="L36" s="11">
        <v>1</v>
      </c>
      <c r="M36" s="12">
        <v>0.1</v>
      </c>
      <c r="N36" s="13">
        <f t="shared" si="2"/>
        <v>0</v>
      </c>
      <c r="O36" s="13">
        <f t="shared" si="3"/>
        <v>0</v>
      </c>
      <c r="P36" s="12">
        <v>0.2</v>
      </c>
      <c r="Q36" s="10">
        <f t="shared" si="4"/>
        <v>0</v>
      </c>
      <c r="R36" s="10">
        <f t="shared" si="5"/>
        <v>0</v>
      </c>
      <c r="S36" s="10">
        <f t="shared" si="6"/>
        <v>0</v>
      </c>
    </row>
    <row r="37" spans="2:19" s="8" customFormat="1" x14ac:dyDescent="0.35">
      <c r="B37" s="21"/>
      <c r="C37" s="21"/>
      <c r="D37" s="21"/>
      <c r="E37" s="21"/>
      <c r="F37" s="31" t="s">
        <v>268</v>
      </c>
      <c r="G37" s="10">
        <v>0</v>
      </c>
      <c r="H37" s="10">
        <v>0</v>
      </c>
      <c r="I37" s="10">
        <v>0</v>
      </c>
      <c r="J37" s="10">
        <f t="shared" si="0"/>
        <v>0</v>
      </c>
      <c r="K37" s="10">
        <f t="shared" si="1"/>
        <v>0</v>
      </c>
      <c r="L37" s="11">
        <v>1</v>
      </c>
      <c r="M37" s="12">
        <v>0.1</v>
      </c>
      <c r="N37" s="13">
        <f t="shared" si="2"/>
        <v>0</v>
      </c>
      <c r="O37" s="13">
        <f t="shared" si="3"/>
        <v>0</v>
      </c>
      <c r="P37" s="12">
        <v>0.2</v>
      </c>
      <c r="Q37" s="10">
        <f t="shared" si="4"/>
        <v>0</v>
      </c>
      <c r="R37" s="10">
        <f t="shared" si="5"/>
        <v>0</v>
      </c>
      <c r="S37" s="10">
        <f t="shared" si="6"/>
        <v>0</v>
      </c>
    </row>
    <row r="38" spans="2:19" s="8" customFormat="1" x14ac:dyDescent="0.35">
      <c r="B38" s="21"/>
      <c r="C38" s="21"/>
      <c r="D38" s="21"/>
      <c r="E38" s="21"/>
      <c r="F38" s="9">
        <v>46296</v>
      </c>
      <c r="G38" s="10">
        <v>0</v>
      </c>
      <c r="H38" s="10">
        <v>0</v>
      </c>
      <c r="I38" s="10">
        <v>0</v>
      </c>
      <c r="J38" s="10">
        <f t="shared" si="0"/>
        <v>0</v>
      </c>
      <c r="K38" s="10">
        <f t="shared" si="1"/>
        <v>0</v>
      </c>
      <c r="L38" s="11">
        <v>1</v>
      </c>
      <c r="M38" s="12">
        <v>0.1</v>
      </c>
      <c r="N38" s="13">
        <f t="shared" si="2"/>
        <v>0</v>
      </c>
      <c r="O38" s="13">
        <f t="shared" si="3"/>
        <v>0</v>
      </c>
      <c r="P38" s="12">
        <v>0.2</v>
      </c>
      <c r="Q38" s="10">
        <f t="shared" si="4"/>
        <v>0</v>
      </c>
      <c r="R38" s="10">
        <f t="shared" si="5"/>
        <v>0</v>
      </c>
      <c r="S38" s="10">
        <f t="shared" si="6"/>
        <v>0</v>
      </c>
    </row>
    <row r="39" spans="2:19" s="8" customFormat="1" x14ac:dyDescent="0.35">
      <c r="B39" s="21"/>
      <c r="C39" s="21"/>
      <c r="D39" s="21"/>
      <c r="E39" s="21"/>
      <c r="F39" s="9">
        <v>46297</v>
      </c>
      <c r="G39" s="10">
        <v>0</v>
      </c>
      <c r="H39" s="10">
        <v>0</v>
      </c>
      <c r="I39" s="10">
        <v>0</v>
      </c>
      <c r="J39" s="10">
        <f t="shared" si="0"/>
        <v>0</v>
      </c>
      <c r="K39" s="10">
        <f t="shared" si="1"/>
        <v>0</v>
      </c>
      <c r="L39" s="11">
        <v>1</v>
      </c>
      <c r="M39" s="12">
        <v>0.1</v>
      </c>
      <c r="N39" s="13">
        <f t="shared" si="2"/>
        <v>0</v>
      </c>
      <c r="O39" s="13">
        <f t="shared" si="3"/>
        <v>0</v>
      </c>
      <c r="P39" s="12">
        <v>0.2</v>
      </c>
      <c r="Q39" s="10">
        <f t="shared" si="4"/>
        <v>0</v>
      </c>
      <c r="R39" s="10">
        <f t="shared" si="5"/>
        <v>0</v>
      </c>
      <c r="S39" s="10">
        <f t="shared" si="6"/>
        <v>0</v>
      </c>
    </row>
    <row r="40" spans="2:19" s="8" customFormat="1" x14ac:dyDescent="0.35">
      <c r="B40" s="21"/>
      <c r="C40" s="21"/>
      <c r="D40" s="21"/>
      <c r="E40" s="21"/>
      <c r="F40" s="9">
        <v>46298</v>
      </c>
      <c r="G40" s="10">
        <v>0</v>
      </c>
      <c r="H40" s="10">
        <v>0</v>
      </c>
      <c r="I40" s="10">
        <v>0</v>
      </c>
      <c r="J40" s="10">
        <f t="shared" si="0"/>
        <v>0</v>
      </c>
      <c r="K40" s="10">
        <f t="shared" si="1"/>
        <v>0</v>
      </c>
      <c r="L40" s="11">
        <v>1</v>
      </c>
      <c r="M40" s="12">
        <v>0.1</v>
      </c>
      <c r="N40" s="13">
        <f t="shared" si="2"/>
        <v>0</v>
      </c>
      <c r="O40" s="13">
        <f t="shared" si="3"/>
        <v>0</v>
      </c>
      <c r="P40" s="12">
        <v>0.2</v>
      </c>
      <c r="Q40" s="10">
        <f t="shared" si="4"/>
        <v>0</v>
      </c>
      <c r="R40" s="10">
        <f t="shared" si="5"/>
        <v>0</v>
      </c>
      <c r="S40" s="10">
        <f t="shared" si="6"/>
        <v>0</v>
      </c>
    </row>
    <row r="41" spans="2:19" s="8" customFormat="1" x14ac:dyDescent="0.35">
      <c r="B41" s="21"/>
      <c r="C41" s="21"/>
      <c r="D41" s="21"/>
      <c r="E41" s="21"/>
      <c r="F41" s="9">
        <v>46326</v>
      </c>
      <c r="G41" s="10">
        <v>0</v>
      </c>
      <c r="H41" s="10">
        <v>0</v>
      </c>
      <c r="I41" s="10">
        <v>0</v>
      </c>
      <c r="J41" s="10">
        <f t="shared" si="0"/>
        <v>0</v>
      </c>
      <c r="K41" s="10">
        <f t="shared" si="1"/>
        <v>0</v>
      </c>
      <c r="L41" s="11">
        <v>1</v>
      </c>
      <c r="M41" s="12">
        <v>0.1</v>
      </c>
      <c r="N41" s="13">
        <f t="shared" si="2"/>
        <v>0</v>
      </c>
      <c r="O41" s="13">
        <f t="shared" si="3"/>
        <v>0</v>
      </c>
      <c r="P41" s="12">
        <v>0.2</v>
      </c>
      <c r="Q41" s="10">
        <f t="shared" si="4"/>
        <v>0</v>
      </c>
      <c r="R41" s="10">
        <f t="shared" si="5"/>
        <v>0</v>
      </c>
      <c r="S41" s="10">
        <f t="shared" si="6"/>
        <v>0</v>
      </c>
    </row>
    <row r="42" spans="2:19" s="8" customFormat="1" x14ac:dyDescent="0.35">
      <c r="B42" s="21"/>
      <c r="C42" s="21"/>
      <c r="D42" s="21"/>
      <c r="E42" s="21"/>
      <c r="F42" s="9">
        <v>46327</v>
      </c>
      <c r="G42" s="10">
        <v>0</v>
      </c>
      <c r="H42" s="10">
        <v>0</v>
      </c>
      <c r="I42" s="10">
        <v>0</v>
      </c>
      <c r="J42" s="10">
        <f t="shared" si="0"/>
        <v>0</v>
      </c>
      <c r="K42" s="10">
        <f t="shared" si="1"/>
        <v>0</v>
      </c>
      <c r="L42" s="11">
        <v>1</v>
      </c>
      <c r="M42" s="12">
        <v>0.1</v>
      </c>
      <c r="N42" s="13">
        <f t="shared" si="2"/>
        <v>0</v>
      </c>
      <c r="O42" s="13">
        <f t="shared" si="3"/>
        <v>0</v>
      </c>
      <c r="P42" s="12">
        <v>0.2</v>
      </c>
      <c r="Q42" s="10">
        <f t="shared" si="4"/>
        <v>0</v>
      </c>
      <c r="R42" s="10">
        <f t="shared" si="5"/>
        <v>0</v>
      </c>
      <c r="S42" s="10">
        <f t="shared" si="6"/>
        <v>0</v>
      </c>
    </row>
    <row r="43" spans="2:19" s="8" customFormat="1" x14ac:dyDescent="0.35">
      <c r="B43" s="21"/>
      <c r="C43" s="21"/>
      <c r="D43" s="21"/>
      <c r="E43" s="21"/>
      <c r="F43" s="9">
        <v>46328</v>
      </c>
      <c r="G43" s="10">
        <v>0</v>
      </c>
      <c r="H43" s="10">
        <v>0</v>
      </c>
      <c r="I43" s="10">
        <v>0</v>
      </c>
      <c r="J43" s="10">
        <f t="shared" si="0"/>
        <v>0</v>
      </c>
      <c r="K43" s="10">
        <f t="shared" si="1"/>
        <v>0</v>
      </c>
      <c r="L43" s="11">
        <v>1</v>
      </c>
      <c r="M43" s="12">
        <v>0.1</v>
      </c>
      <c r="N43" s="13">
        <f t="shared" si="2"/>
        <v>0</v>
      </c>
      <c r="O43" s="13">
        <f t="shared" si="3"/>
        <v>0</v>
      </c>
      <c r="P43" s="12">
        <v>0.2</v>
      </c>
      <c r="Q43" s="10">
        <f t="shared" si="4"/>
        <v>0</v>
      </c>
      <c r="R43" s="10">
        <f t="shared" si="5"/>
        <v>0</v>
      </c>
      <c r="S43" s="10">
        <f t="shared" si="6"/>
        <v>0</v>
      </c>
    </row>
    <row r="44" spans="2:19" s="8" customFormat="1" x14ac:dyDescent="0.35">
      <c r="B44" s="21"/>
      <c r="C44" s="21"/>
      <c r="D44" s="21"/>
      <c r="E44" s="21"/>
      <c r="F44" s="9">
        <v>46329</v>
      </c>
      <c r="G44" s="10">
        <v>0</v>
      </c>
      <c r="H44" s="10">
        <v>0</v>
      </c>
      <c r="I44" s="10">
        <v>0</v>
      </c>
      <c r="J44" s="10">
        <f t="shared" si="0"/>
        <v>0</v>
      </c>
      <c r="K44" s="10">
        <f t="shared" si="1"/>
        <v>0</v>
      </c>
      <c r="L44" s="11">
        <v>1</v>
      </c>
      <c r="M44" s="12">
        <v>0.1</v>
      </c>
      <c r="N44" s="13">
        <f t="shared" si="2"/>
        <v>0</v>
      </c>
      <c r="O44" s="13">
        <f t="shared" si="3"/>
        <v>0</v>
      </c>
      <c r="P44" s="12">
        <v>0.2</v>
      </c>
      <c r="Q44" s="10">
        <f t="shared" si="4"/>
        <v>0</v>
      </c>
      <c r="R44" s="10">
        <f t="shared" si="5"/>
        <v>0</v>
      </c>
      <c r="S44" s="10">
        <f t="shared" si="6"/>
        <v>0</v>
      </c>
    </row>
    <row r="45" spans="2:19" s="8" customFormat="1" x14ac:dyDescent="0.35">
      <c r="B45" s="21"/>
      <c r="C45" s="21"/>
      <c r="D45" s="21"/>
      <c r="E45" s="21"/>
      <c r="F45" s="30" t="s">
        <v>269</v>
      </c>
      <c r="G45" s="10">
        <v>0</v>
      </c>
      <c r="H45" s="10">
        <v>0</v>
      </c>
      <c r="I45" s="10">
        <v>0</v>
      </c>
      <c r="J45" s="10">
        <f t="shared" si="0"/>
        <v>0</v>
      </c>
      <c r="K45" s="10">
        <f t="shared" si="1"/>
        <v>0</v>
      </c>
      <c r="L45" s="11">
        <v>1</v>
      </c>
      <c r="M45" s="12">
        <v>0.1</v>
      </c>
      <c r="N45" s="13">
        <f t="shared" si="2"/>
        <v>0</v>
      </c>
      <c r="O45" s="13">
        <f t="shared" si="3"/>
        <v>0</v>
      </c>
      <c r="P45" s="12">
        <v>0.2</v>
      </c>
      <c r="Q45" s="10">
        <f t="shared" si="4"/>
        <v>0</v>
      </c>
      <c r="R45" s="10">
        <f t="shared" si="5"/>
        <v>0</v>
      </c>
      <c r="S45" s="10">
        <f t="shared" si="6"/>
        <v>0</v>
      </c>
    </row>
    <row r="46" spans="2:19" s="8" customFormat="1" x14ac:dyDescent="0.35">
      <c r="B46" s="21"/>
      <c r="C46" s="21"/>
      <c r="D46" s="21"/>
      <c r="E46" s="21"/>
      <c r="F46" s="9">
        <v>46357</v>
      </c>
      <c r="G46" s="10">
        <v>0</v>
      </c>
      <c r="H46" s="10">
        <v>0</v>
      </c>
      <c r="I46" s="10">
        <v>0</v>
      </c>
      <c r="J46" s="10">
        <f t="shared" si="0"/>
        <v>0</v>
      </c>
      <c r="K46" s="10">
        <f t="shared" si="1"/>
        <v>0</v>
      </c>
      <c r="L46" s="11">
        <v>1</v>
      </c>
      <c r="M46" s="12">
        <v>0.1</v>
      </c>
      <c r="N46" s="13">
        <f t="shared" si="2"/>
        <v>0</v>
      </c>
      <c r="O46" s="13">
        <f t="shared" si="3"/>
        <v>0</v>
      </c>
      <c r="P46" s="12">
        <v>0.2</v>
      </c>
      <c r="Q46" s="10">
        <f t="shared" si="4"/>
        <v>0</v>
      </c>
      <c r="R46" s="10">
        <f t="shared" si="5"/>
        <v>0</v>
      </c>
      <c r="S46" s="10">
        <f t="shared" si="6"/>
        <v>0</v>
      </c>
    </row>
    <row r="47" spans="2:19" s="8" customFormat="1" x14ac:dyDescent="0.35">
      <c r="B47" s="21"/>
      <c r="C47" s="21"/>
      <c r="D47" s="21"/>
      <c r="E47" s="21"/>
      <c r="F47" s="9">
        <v>46358</v>
      </c>
      <c r="G47" s="10">
        <v>0</v>
      </c>
      <c r="H47" s="10">
        <v>0</v>
      </c>
      <c r="I47" s="10">
        <v>0</v>
      </c>
      <c r="J47" s="10">
        <f t="shared" si="0"/>
        <v>0</v>
      </c>
      <c r="K47" s="10">
        <f t="shared" si="1"/>
        <v>0</v>
      </c>
      <c r="L47" s="11">
        <v>1</v>
      </c>
      <c r="M47" s="12">
        <v>0.1</v>
      </c>
      <c r="N47" s="13">
        <f t="shared" si="2"/>
        <v>0</v>
      </c>
      <c r="O47" s="13">
        <f t="shared" si="3"/>
        <v>0</v>
      </c>
      <c r="P47" s="12">
        <v>0.2</v>
      </c>
      <c r="Q47" s="10">
        <f t="shared" si="4"/>
        <v>0</v>
      </c>
      <c r="R47" s="10">
        <f t="shared" si="5"/>
        <v>0</v>
      </c>
      <c r="S47" s="10">
        <f t="shared" si="6"/>
        <v>0</v>
      </c>
    </row>
    <row r="48" spans="2:19" s="8" customFormat="1" x14ac:dyDescent="0.35">
      <c r="B48" s="21"/>
      <c r="C48" s="21"/>
      <c r="D48" s="21"/>
      <c r="E48" s="21"/>
      <c r="F48" s="9">
        <v>46359</v>
      </c>
      <c r="G48" s="10">
        <v>0</v>
      </c>
      <c r="H48" s="10">
        <v>0</v>
      </c>
      <c r="I48" s="10">
        <v>0</v>
      </c>
      <c r="J48" s="10">
        <f t="shared" si="0"/>
        <v>0</v>
      </c>
      <c r="K48" s="10">
        <f t="shared" si="1"/>
        <v>0</v>
      </c>
      <c r="L48" s="11">
        <v>1</v>
      </c>
      <c r="M48" s="12">
        <v>0.1</v>
      </c>
      <c r="N48" s="13">
        <f t="shared" si="2"/>
        <v>0</v>
      </c>
      <c r="O48" s="13">
        <f t="shared" si="3"/>
        <v>0</v>
      </c>
      <c r="P48" s="12">
        <v>0.2</v>
      </c>
      <c r="Q48" s="10">
        <f t="shared" si="4"/>
        <v>0</v>
      </c>
      <c r="R48" s="10">
        <f t="shared" si="5"/>
        <v>0</v>
      </c>
      <c r="S48" s="10">
        <f t="shared" si="6"/>
        <v>0</v>
      </c>
    </row>
    <row r="49" spans="2:19" s="8" customFormat="1" x14ac:dyDescent="0.35">
      <c r="B49" s="21"/>
      <c r="C49" s="21"/>
      <c r="D49" s="21"/>
      <c r="E49" s="21"/>
      <c r="F49" s="9">
        <v>46387</v>
      </c>
      <c r="G49" s="10">
        <v>0</v>
      </c>
      <c r="H49" s="10">
        <v>0</v>
      </c>
      <c r="I49" s="10">
        <v>0</v>
      </c>
      <c r="J49" s="10">
        <f t="shared" si="0"/>
        <v>0</v>
      </c>
      <c r="K49" s="10">
        <f t="shared" si="1"/>
        <v>0</v>
      </c>
      <c r="L49" s="11">
        <v>1</v>
      </c>
      <c r="M49" s="12">
        <v>0.1</v>
      </c>
      <c r="N49" s="13">
        <f t="shared" si="2"/>
        <v>0</v>
      </c>
      <c r="O49" s="13">
        <f t="shared" si="3"/>
        <v>0</v>
      </c>
      <c r="P49" s="12">
        <v>0.2</v>
      </c>
      <c r="Q49" s="10">
        <f t="shared" si="4"/>
        <v>0</v>
      </c>
      <c r="R49" s="10">
        <f t="shared" si="5"/>
        <v>0</v>
      </c>
      <c r="S49" s="10">
        <f t="shared" si="6"/>
        <v>0</v>
      </c>
    </row>
    <row r="50" spans="2:19" s="8" customFormat="1" x14ac:dyDescent="0.35">
      <c r="B50" s="21"/>
      <c r="C50" s="21"/>
      <c r="D50" s="21"/>
      <c r="E50" s="21"/>
      <c r="F50" s="9"/>
      <c r="G50" s="10"/>
      <c r="H50" s="10"/>
      <c r="I50" s="10"/>
      <c r="J50" s="10"/>
      <c r="K50" s="10"/>
      <c r="L50" s="11"/>
      <c r="M50" s="12"/>
      <c r="N50" s="13"/>
      <c r="O50" s="13"/>
      <c r="P50" s="12"/>
      <c r="Q50" s="10"/>
      <c r="R50" s="10"/>
      <c r="S50" s="10"/>
    </row>
    <row r="51" spans="2:19" s="8" customFormat="1" x14ac:dyDescent="0.35">
      <c r="B51" s="21"/>
      <c r="C51" s="21"/>
      <c r="D51" s="21"/>
      <c r="E51" s="21"/>
      <c r="F51" s="9"/>
      <c r="G51" s="10"/>
      <c r="H51" s="10"/>
      <c r="I51" s="10"/>
      <c r="J51" s="10"/>
      <c r="K51" s="10"/>
      <c r="L51" s="11"/>
      <c r="M51" s="12"/>
      <c r="N51" s="13"/>
      <c r="O51" s="13"/>
      <c r="P51" s="12"/>
      <c r="Q51" s="10"/>
      <c r="R51" s="10"/>
      <c r="S51" s="10"/>
    </row>
    <row r="52" spans="2:19" s="8" customFormat="1" x14ac:dyDescent="0.35">
      <c r="B52" s="21"/>
      <c r="C52" s="21"/>
      <c r="D52" s="21"/>
      <c r="E52" s="21"/>
      <c r="F52" s="9"/>
      <c r="G52" s="10"/>
      <c r="H52" s="10"/>
      <c r="I52" s="10"/>
      <c r="J52" s="10"/>
      <c r="K52" s="10"/>
      <c r="L52" s="11"/>
      <c r="M52" s="12"/>
      <c r="N52" s="13"/>
      <c r="O52" s="13"/>
      <c r="P52" s="12"/>
      <c r="Q52" s="10"/>
      <c r="R52" s="10"/>
      <c r="S52" s="10"/>
    </row>
    <row r="53" spans="2:19" s="8" customFormat="1" x14ac:dyDescent="0.35">
      <c r="B53" s="21"/>
      <c r="C53" s="21"/>
      <c r="D53" s="21"/>
      <c r="E53" s="21"/>
      <c r="F53" s="9"/>
      <c r="G53" s="10"/>
      <c r="H53" s="10"/>
      <c r="I53" s="10"/>
      <c r="J53" s="10"/>
      <c r="K53" s="10"/>
      <c r="L53" s="11"/>
      <c r="M53" s="12"/>
      <c r="N53" s="13"/>
      <c r="O53" s="13"/>
      <c r="P53" s="12"/>
      <c r="Q53" s="10"/>
      <c r="R53" s="10"/>
      <c r="S53" s="10"/>
    </row>
    <row r="54" spans="2:19" s="8" customFormat="1" x14ac:dyDescent="0.35">
      <c r="B54" s="21"/>
      <c r="C54" s="21"/>
      <c r="D54" s="21"/>
      <c r="E54" s="21"/>
      <c r="F54" s="9"/>
      <c r="G54" s="10"/>
      <c r="H54" s="10"/>
      <c r="I54" s="10"/>
      <c r="J54" s="10"/>
      <c r="K54" s="10"/>
      <c r="L54" s="11"/>
      <c r="M54" s="12"/>
      <c r="N54" s="13"/>
      <c r="O54" s="13"/>
      <c r="P54" s="12"/>
      <c r="Q54" s="10"/>
      <c r="R54" s="10"/>
      <c r="S54" s="10"/>
    </row>
    <row r="55" spans="2:19" s="8" customFormat="1" x14ac:dyDescent="0.35">
      <c r="B55" s="21"/>
      <c r="C55" s="21"/>
      <c r="D55" s="21"/>
      <c r="E55" s="21"/>
      <c r="F55" s="9"/>
      <c r="G55" s="10"/>
      <c r="H55" s="10"/>
      <c r="I55" s="10"/>
      <c r="J55" s="10"/>
      <c r="K55" s="10"/>
      <c r="L55" s="11"/>
      <c r="M55" s="12"/>
      <c r="N55" s="13"/>
      <c r="O55" s="13"/>
      <c r="P55" s="12"/>
      <c r="Q55" s="10"/>
      <c r="R55" s="10"/>
      <c r="S55" s="10"/>
    </row>
    <row r="56" spans="2:19" s="8" customFormat="1" x14ac:dyDescent="0.35">
      <c r="B56" s="21"/>
      <c r="C56" s="21"/>
      <c r="D56" s="21"/>
      <c r="E56" s="21"/>
      <c r="F56" s="9"/>
      <c r="G56" s="10"/>
      <c r="H56" s="10"/>
      <c r="I56" s="10"/>
      <c r="J56" s="10"/>
      <c r="K56" s="10"/>
      <c r="L56" s="11"/>
      <c r="M56" s="12"/>
      <c r="N56" s="13"/>
      <c r="O56" s="13"/>
      <c r="P56" s="12"/>
      <c r="Q56" s="10"/>
      <c r="R56" s="10"/>
      <c r="S56" s="10"/>
    </row>
    <row r="57" spans="2:19" s="8" customFormat="1" x14ac:dyDescent="0.35">
      <c r="B57" s="21"/>
      <c r="C57" s="21"/>
      <c r="D57" s="21"/>
      <c r="E57" s="21"/>
      <c r="F57" s="9"/>
      <c r="G57" s="10"/>
      <c r="H57" s="10"/>
      <c r="I57" s="10"/>
      <c r="J57" s="10"/>
      <c r="K57" s="10"/>
      <c r="L57" s="11"/>
      <c r="M57" s="12"/>
      <c r="N57" s="13"/>
      <c r="O57" s="13"/>
      <c r="P57" s="12"/>
      <c r="Q57" s="10"/>
      <c r="R57" s="10"/>
      <c r="S57" s="10"/>
    </row>
    <row r="58" spans="2:19" s="8" customFormat="1" x14ac:dyDescent="0.35">
      <c r="B58" s="21"/>
      <c r="C58" s="21"/>
      <c r="D58" s="21"/>
      <c r="E58" s="21"/>
      <c r="F58" s="9"/>
      <c r="G58" s="10"/>
      <c r="H58" s="10"/>
      <c r="I58" s="10"/>
      <c r="J58" s="10"/>
      <c r="K58" s="10"/>
      <c r="L58" s="11"/>
      <c r="M58" s="12"/>
      <c r="N58" s="13"/>
      <c r="O58" s="13"/>
      <c r="P58" s="12"/>
      <c r="Q58" s="10"/>
      <c r="R58" s="10"/>
      <c r="S58" s="10"/>
    </row>
    <row r="59" spans="2:19" s="8" customFormat="1" x14ac:dyDescent="0.35">
      <c r="B59" s="21"/>
      <c r="C59" s="21"/>
      <c r="D59" s="21"/>
      <c r="E59" s="21"/>
      <c r="F59" s="9"/>
      <c r="G59" s="10"/>
      <c r="H59" s="10"/>
      <c r="I59" s="10"/>
      <c r="J59" s="10"/>
      <c r="K59" s="10"/>
      <c r="L59" s="11"/>
      <c r="M59" s="12"/>
      <c r="N59" s="13"/>
      <c r="O59" s="13"/>
      <c r="P59" s="12"/>
      <c r="Q59" s="10"/>
      <c r="R59" s="10"/>
      <c r="S59" s="10"/>
    </row>
    <row r="60" spans="2:19" s="8" customFormat="1" x14ac:dyDescent="0.35">
      <c r="B60" s="21"/>
      <c r="C60" s="21"/>
      <c r="D60" s="21"/>
      <c r="E60" s="21"/>
      <c r="F60" s="9"/>
      <c r="G60" s="10"/>
      <c r="H60" s="10"/>
      <c r="I60" s="10"/>
      <c r="J60" s="10"/>
      <c r="K60" s="10"/>
      <c r="L60" s="11"/>
      <c r="M60" s="12"/>
      <c r="N60" s="13"/>
      <c r="O60" s="13"/>
      <c r="P60" s="12"/>
      <c r="Q60" s="10"/>
      <c r="R60" s="10"/>
      <c r="S60" s="10"/>
    </row>
    <row r="61" spans="2:19" s="8" customFormat="1" x14ac:dyDescent="0.35">
      <c r="B61" s="21"/>
      <c r="C61" s="21"/>
      <c r="D61" s="21"/>
      <c r="E61" s="21"/>
      <c r="F61" s="9"/>
      <c r="G61" s="10"/>
      <c r="H61" s="10"/>
      <c r="I61" s="10"/>
      <c r="J61" s="10"/>
      <c r="K61" s="10"/>
      <c r="L61" s="11"/>
      <c r="M61" s="12"/>
      <c r="N61" s="13"/>
      <c r="O61" s="13"/>
      <c r="P61" s="12"/>
      <c r="Q61" s="10"/>
      <c r="R61" s="10"/>
      <c r="S61" s="10"/>
    </row>
    <row r="62" spans="2:19" s="8" customFormat="1" x14ac:dyDescent="0.35">
      <c r="B62" s="21"/>
      <c r="C62" s="21"/>
      <c r="D62" s="21"/>
      <c r="E62" s="21"/>
      <c r="F62" s="9"/>
      <c r="G62" s="10"/>
      <c r="H62" s="10"/>
      <c r="I62" s="10"/>
      <c r="J62" s="10"/>
      <c r="K62" s="10"/>
      <c r="L62" s="11"/>
      <c r="M62" s="12"/>
      <c r="N62" s="13"/>
      <c r="O62" s="13"/>
      <c r="P62" s="12"/>
      <c r="Q62" s="10"/>
      <c r="R62" s="10"/>
      <c r="S62" s="10"/>
    </row>
    <row r="63" spans="2:19" s="8" customFormat="1" x14ac:dyDescent="0.35">
      <c r="B63" s="21"/>
      <c r="C63" s="21"/>
      <c r="D63" s="21"/>
      <c r="E63" s="21"/>
      <c r="F63" s="9"/>
      <c r="G63" s="10"/>
      <c r="H63" s="10"/>
      <c r="I63" s="10"/>
      <c r="J63" s="10"/>
      <c r="K63" s="10"/>
      <c r="L63" s="11"/>
      <c r="M63" s="12"/>
      <c r="N63" s="13"/>
      <c r="O63" s="13"/>
      <c r="P63" s="12"/>
      <c r="Q63" s="10"/>
      <c r="R63" s="10"/>
      <c r="S63" s="10"/>
    </row>
    <row r="64" spans="2:19" s="8" customFormat="1" x14ac:dyDescent="0.35">
      <c r="B64" s="21"/>
      <c r="C64" s="21"/>
      <c r="D64" s="21"/>
      <c r="E64" s="21"/>
      <c r="F64" s="9"/>
      <c r="G64" s="10"/>
      <c r="H64" s="10"/>
      <c r="I64" s="10"/>
      <c r="J64" s="10"/>
      <c r="K64" s="10"/>
      <c r="L64" s="11"/>
      <c r="M64" s="12"/>
      <c r="N64" s="13"/>
      <c r="O64" s="13"/>
      <c r="P64" s="12"/>
      <c r="Q64" s="10"/>
      <c r="R64" s="10"/>
      <c r="S64" s="10"/>
    </row>
    <row r="65" spans="1:20" x14ac:dyDescent="0.35">
      <c r="A65" s="8"/>
      <c r="B65" s="21"/>
      <c r="C65" s="21"/>
      <c r="D65" s="21"/>
      <c r="E65" s="21"/>
      <c r="F65" s="9"/>
      <c r="G65" s="10"/>
      <c r="H65" s="10"/>
      <c r="I65" s="10"/>
      <c r="J65" s="10"/>
      <c r="K65" s="10"/>
      <c r="L65" s="11"/>
      <c r="M65" s="12"/>
      <c r="N65" s="13"/>
      <c r="O65" s="13"/>
      <c r="P65" s="12"/>
      <c r="Q65" s="10"/>
      <c r="R65" s="10"/>
      <c r="S65" s="10"/>
    </row>
    <row r="66" spans="1:20" x14ac:dyDescent="0.35">
      <c r="A66" s="8"/>
      <c r="B66" s="21"/>
      <c r="C66" s="21"/>
      <c r="D66" s="21"/>
      <c r="E66" s="21"/>
      <c r="F66" s="9"/>
      <c r="G66" s="10"/>
      <c r="H66" s="10"/>
      <c r="I66" s="10"/>
      <c r="J66" s="10"/>
      <c r="K66" s="10"/>
      <c r="L66" s="11"/>
      <c r="M66" s="12"/>
      <c r="N66" s="13"/>
      <c r="O66" s="13"/>
      <c r="P66" s="12"/>
      <c r="Q66" s="10"/>
      <c r="R66" s="10"/>
      <c r="S66" s="10"/>
    </row>
    <row r="67" spans="1:20" x14ac:dyDescent="0.35">
      <c r="A67" s="8"/>
      <c r="B67" s="21"/>
      <c r="C67" s="21"/>
      <c r="D67" s="21"/>
      <c r="E67" s="21"/>
      <c r="F67" s="9"/>
      <c r="G67" s="10"/>
      <c r="H67" s="10"/>
      <c r="I67" s="10"/>
      <c r="J67" s="10"/>
      <c r="K67" s="10"/>
      <c r="L67" s="11"/>
      <c r="M67" s="12"/>
      <c r="N67" s="13"/>
      <c r="O67" s="13"/>
      <c r="P67" s="12"/>
      <c r="Q67" s="10"/>
      <c r="R67" s="10"/>
      <c r="S67" s="10"/>
    </row>
    <row r="68" spans="1:20" x14ac:dyDescent="0.35">
      <c r="A68" s="8"/>
      <c r="B68" s="21"/>
      <c r="C68" s="21"/>
      <c r="D68" s="21"/>
      <c r="E68" s="21"/>
      <c r="F68" s="9"/>
      <c r="G68" s="10"/>
      <c r="H68" s="10"/>
      <c r="I68" s="10"/>
      <c r="J68" s="10"/>
      <c r="K68" s="10"/>
      <c r="L68" s="11"/>
      <c r="M68" s="12"/>
      <c r="N68" s="13"/>
      <c r="O68" s="13"/>
      <c r="P68" s="12"/>
      <c r="Q68" s="10"/>
      <c r="R68" s="10"/>
      <c r="S68" s="10"/>
      <c r="T68" s="8"/>
    </row>
    <row r="69" spans="1:20" x14ac:dyDescent="0.35">
      <c r="F69" s="4"/>
      <c r="G69" s="3">
        <f>SUM(G2:G68)</f>
        <v>0</v>
      </c>
      <c r="H69" s="3">
        <f>SUM(H2:H68)</f>
        <v>0</v>
      </c>
      <c r="I69" s="1">
        <f>SUM(I2:I68)</f>
        <v>0</v>
      </c>
      <c r="J69" s="1">
        <f>SUM(J2:J68)</f>
        <v>0</v>
      </c>
      <c r="K69" s="1">
        <f>SUM(K2:K68)</f>
        <v>0</v>
      </c>
      <c r="L69" s="1"/>
      <c r="M69" s="2">
        <f>AVERAGE(M2:M49)</f>
        <v>9.9374999999999991E-2</v>
      </c>
      <c r="N69" s="14">
        <f>SUM(N2:N68)</f>
        <v>0</v>
      </c>
      <c r="O69" s="14">
        <f>SUM(O2:O68)</f>
        <v>0</v>
      </c>
      <c r="Q69" s="1">
        <f>SUM(Q2:Q68)</f>
        <v>0</v>
      </c>
      <c r="R69" s="1">
        <f>SUM(R2:R68)</f>
        <v>0</v>
      </c>
      <c r="S69" s="1">
        <f>SUM(S2:S68)</f>
        <v>0</v>
      </c>
      <c r="T69" s="8"/>
    </row>
    <row r="70" spans="1:20" x14ac:dyDescent="0.35">
      <c r="F70" s="4"/>
      <c r="G70" s="3"/>
      <c r="H70" s="3"/>
      <c r="J70" s="1"/>
      <c r="K70" s="1"/>
      <c r="L70" s="1"/>
      <c r="N70" s="14"/>
      <c r="O70" s="14"/>
      <c r="Q70" s="1"/>
      <c r="R70" s="1"/>
      <c r="S70" s="1"/>
      <c r="T70" s="8"/>
    </row>
    <row r="71" spans="1:20" x14ac:dyDescent="0.35">
      <c r="F71" s="4"/>
      <c r="O71" s="15">
        <f>O69*0.25</f>
        <v>0</v>
      </c>
      <c r="Q71" s="1"/>
      <c r="T71" s="8"/>
    </row>
    <row r="72" spans="1:20" x14ac:dyDescent="0.35">
      <c r="A72" s="74" t="s">
        <v>359</v>
      </c>
      <c r="G72" s="75" t="s">
        <v>361</v>
      </c>
      <c r="K72" t="s">
        <v>362</v>
      </c>
      <c r="T72" s="8"/>
    </row>
    <row r="73" spans="1:20" x14ac:dyDescent="0.35">
      <c r="A73" t="s">
        <v>360</v>
      </c>
      <c r="F73" s="4"/>
      <c r="G73" s="1">
        <v>1150000</v>
      </c>
      <c r="J73" s="1"/>
      <c r="K73" s="76">
        <v>0.08</v>
      </c>
      <c r="M73"/>
      <c r="N73"/>
      <c r="O73"/>
    </row>
    <row r="74" spans="1:20" x14ac:dyDescent="0.35">
      <c r="F74" s="4"/>
      <c r="J74" s="1"/>
      <c r="K74" s="1"/>
      <c r="M74"/>
      <c r="N74"/>
      <c r="O74"/>
    </row>
    <row r="75" spans="1:20" x14ac:dyDescent="0.35">
      <c r="K7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913B-A252-442E-9F5B-BD6940A578FD}">
  <dimension ref="A1:AD22"/>
  <sheetViews>
    <sheetView topLeftCell="C1" workbookViewId="0">
      <selection activeCell="R2" sqref="R2"/>
    </sheetView>
  </sheetViews>
  <sheetFormatPr defaultRowHeight="14.5" x14ac:dyDescent="0.35"/>
  <cols>
    <col min="1" max="1" width="24.08984375" customWidth="1"/>
    <col min="2" max="2" width="12.54296875" bestFit="1" customWidth="1"/>
    <col min="4" max="4" width="9.81640625" bestFit="1" customWidth="1"/>
    <col min="5" max="5" width="10.1796875" bestFit="1" customWidth="1"/>
    <col min="6" max="6" width="9.81640625" bestFit="1" customWidth="1"/>
    <col min="7" max="7" width="19.7265625" customWidth="1"/>
    <col min="8" max="8" width="13.54296875" customWidth="1"/>
    <col min="9" max="9" width="19.81640625" bestFit="1" customWidth="1"/>
    <col min="10" max="10" width="12.6328125" bestFit="1" customWidth="1"/>
    <col min="11" max="11" width="12.1796875" customWidth="1"/>
    <col min="12" max="12" width="7.26953125" bestFit="1" customWidth="1"/>
    <col min="13" max="13" width="10.453125" customWidth="1"/>
    <col min="14" max="14" width="20.36328125" customWidth="1"/>
    <col min="15" max="15" width="15.08984375" customWidth="1"/>
    <col min="16" max="16" width="12.6328125" bestFit="1" customWidth="1"/>
    <col min="18" max="18" width="10.1796875" bestFit="1" customWidth="1"/>
    <col min="19" max="19" width="11.90625" customWidth="1"/>
    <col min="20" max="20" width="19.6328125" customWidth="1"/>
    <col min="21" max="21" width="18.36328125" customWidth="1"/>
    <col min="22" max="22" width="12.6328125" bestFit="1" customWidth="1"/>
    <col min="24" max="24" width="10.1796875" bestFit="1" customWidth="1"/>
    <col min="25" max="25" width="10.81640625" customWidth="1"/>
    <col min="26" max="26" width="17.81640625" customWidth="1"/>
    <col min="27" max="27" width="12.6328125" bestFit="1" customWidth="1"/>
    <col min="30" max="30" width="10.1796875" bestFit="1" customWidth="1"/>
  </cols>
  <sheetData>
    <row r="1" spans="1:30" ht="23.5" x14ac:dyDescent="0.55000000000000004">
      <c r="A1" s="67" t="s">
        <v>276</v>
      </c>
      <c r="B1" s="67"/>
      <c r="C1" s="67"/>
      <c r="D1" s="67"/>
      <c r="E1" s="67"/>
      <c r="F1" s="1"/>
      <c r="G1" s="71" t="s">
        <v>290</v>
      </c>
      <c r="H1" s="71"/>
      <c r="I1" s="71"/>
      <c r="J1" s="71"/>
      <c r="K1" s="71"/>
      <c r="L1" s="1"/>
      <c r="M1" s="1"/>
      <c r="N1" s="68" t="s">
        <v>277</v>
      </c>
      <c r="O1" s="68"/>
      <c r="P1" s="68"/>
      <c r="Q1" s="68"/>
      <c r="R1" s="68"/>
      <c r="T1" s="69" t="s">
        <v>278</v>
      </c>
      <c r="U1" s="69"/>
      <c r="V1" s="69"/>
      <c r="W1" s="69"/>
      <c r="X1" s="69"/>
      <c r="Z1" s="70" t="s">
        <v>279</v>
      </c>
      <c r="AA1" s="70"/>
      <c r="AB1" s="70"/>
      <c r="AC1" s="70"/>
      <c r="AD1" s="70"/>
    </row>
    <row r="2" spans="1:30" x14ac:dyDescent="0.35">
      <c r="A2" t="s">
        <v>15</v>
      </c>
      <c r="B2" t="s">
        <v>117</v>
      </c>
      <c r="C2" s="5" t="s">
        <v>21</v>
      </c>
      <c r="D2" s="5" t="s">
        <v>19</v>
      </c>
      <c r="E2" t="s">
        <v>291</v>
      </c>
      <c r="G2" t="s">
        <v>15</v>
      </c>
      <c r="H2" t="s">
        <v>117</v>
      </c>
      <c r="I2" s="5" t="s">
        <v>21</v>
      </c>
      <c r="J2" s="5" t="s">
        <v>19</v>
      </c>
      <c r="K2" t="s">
        <v>291</v>
      </c>
      <c r="N2" t="s">
        <v>15</v>
      </c>
      <c r="O2" t="s">
        <v>117</v>
      </c>
      <c r="P2" s="5" t="s">
        <v>21</v>
      </c>
      <c r="Q2" s="5" t="s">
        <v>19</v>
      </c>
      <c r="R2" t="s">
        <v>291</v>
      </c>
      <c r="T2" t="s">
        <v>15</v>
      </c>
      <c r="U2" t="s">
        <v>117</v>
      </c>
      <c r="V2" s="5" t="s">
        <v>21</v>
      </c>
      <c r="W2" s="5" t="s">
        <v>19</v>
      </c>
      <c r="X2" t="s">
        <v>291</v>
      </c>
      <c r="Z2" t="s">
        <v>15</v>
      </c>
      <c r="AA2" t="s">
        <v>117</v>
      </c>
      <c r="AB2" s="5" t="s">
        <v>21</v>
      </c>
      <c r="AC2" s="5" t="s">
        <v>19</v>
      </c>
      <c r="AD2" t="s">
        <v>291</v>
      </c>
    </row>
    <row r="3" spans="1:30" x14ac:dyDescent="0.35">
      <c r="A3" s="33" t="s">
        <v>270</v>
      </c>
      <c r="B3" s="35">
        <v>14796.82</v>
      </c>
      <c r="C3" s="12">
        <v>0.75</v>
      </c>
      <c r="D3" s="12">
        <v>0.2</v>
      </c>
      <c r="E3" s="10">
        <f t="shared" ref="E3:E17" si="0">B3*C3*D3</f>
        <v>2219.5230000000001</v>
      </c>
      <c r="G3" s="16"/>
      <c r="H3" s="10">
        <v>0</v>
      </c>
      <c r="I3" s="12">
        <v>1</v>
      </c>
      <c r="J3" s="12">
        <v>0.2</v>
      </c>
      <c r="K3" s="10">
        <f t="shared" ref="K3:K17" si="1">H3*I3*J3</f>
        <v>0</v>
      </c>
      <c r="N3" s="39" t="s">
        <v>280</v>
      </c>
      <c r="O3" s="49">
        <v>10277.36</v>
      </c>
      <c r="P3" s="12">
        <v>1</v>
      </c>
      <c r="Q3" s="12">
        <v>0.15</v>
      </c>
      <c r="R3" s="10">
        <f t="shared" ref="R3:R17" si="2">O3*P3*Q3</f>
        <v>1541.604</v>
      </c>
      <c r="T3" s="16"/>
      <c r="U3" s="10">
        <v>0</v>
      </c>
      <c r="V3" s="12">
        <v>1</v>
      </c>
      <c r="W3" s="12">
        <v>0.2</v>
      </c>
      <c r="X3" s="10">
        <f t="shared" ref="X3:X17" si="3">U3*V3*W3</f>
        <v>0</v>
      </c>
      <c r="Z3" s="16"/>
      <c r="AA3" s="10">
        <v>0</v>
      </c>
      <c r="AB3" s="12">
        <v>1</v>
      </c>
      <c r="AC3" s="12">
        <v>0.2</v>
      </c>
      <c r="AD3" s="10">
        <f t="shared" ref="AD3:AD17" si="4">AA3*AB3*AC3</f>
        <v>0</v>
      </c>
    </row>
    <row r="4" spans="1:30" x14ac:dyDescent="0.35">
      <c r="A4" s="34" t="s">
        <v>271</v>
      </c>
      <c r="B4" s="36">
        <v>844.77</v>
      </c>
      <c r="C4" s="12">
        <v>1</v>
      </c>
      <c r="D4" s="12">
        <v>0.2</v>
      </c>
      <c r="E4" s="10">
        <f t="shared" si="0"/>
        <v>168.95400000000001</v>
      </c>
      <c r="G4" s="16"/>
      <c r="H4" s="10">
        <v>0</v>
      </c>
      <c r="I4" s="12">
        <v>1</v>
      </c>
      <c r="J4" s="12">
        <v>0.2</v>
      </c>
      <c r="K4" s="10">
        <f t="shared" si="1"/>
        <v>0</v>
      </c>
      <c r="N4" s="37" t="s">
        <v>281</v>
      </c>
      <c r="O4" s="50">
        <v>839.17</v>
      </c>
      <c r="P4" s="12">
        <v>1</v>
      </c>
      <c r="Q4" s="12">
        <v>0.15</v>
      </c>
      <c r="R4" s="10">
        <f t="shared" si="2"/>
        <v>125.87549999999999</v>
      </c>
      <c r="T4" s="16"/>
      <c r="U4" s="10">
        <v>0</v>
      </c>
      <c r="V4" s="12">
        <v>1</v>
      </c>
      <c r="W4" s="12">
        <v>0.2</v>
      </c>
      <c r="X4" s="10">
        <f t="shared" si="3"/>
        <v>0</v>
      </c>
      <c r="Z4" s="16"/>
      <c r="AA4" s="10">
        <v>0</v>
      </c>
      <c r="AB4" s="12">
        <v>1</v>
      </c>
      <c r="AC4" s="12">
        <v>0.2</v>
      </c>
      <c r="AD4" s="10">
        <f t="shared" si="4"/>
        <v>0</v>
      </c>
    </row>
    <row r="5" spans="1:30" x14ac:dyDescent="0.35">
      <c r="A5" s="37" t="s">
        <v>272</v>
      </c>
      <c r="B5" s="38">
        <v>31127.96</v>
      </c>
      <c r="C5" s="12">
        <v>1</v>
      </c>
      <c r="D5" s="12">
        <v>0.2</v>
      </c>
      <c r="E5" s="10">
        <f t="shared" si="0"/>
        <v>6225.5920000000006</v>
      </c>
      <c r="G5" s="16"/>
      <c r="H5" s="10">
        <v>0</v>
      </c>
      <c r="I5" s="12">
        <v>1</v>
      </c>
      <c r="J5" s="12">
        <v>0.2</v>
      </c>
      <c r="K5" s="10">
        <f t="shared" si="1"/>
        <v>0</v>
      </c>
      <c r="N5" s="37" t="s">
        <v>281</v>
      </c>
      <c r="O5" s="50">
        <v>1470.36</v>
      </c>
      <c r="P5" s="12">
        <v>1</v>
      </c>
      <c r="Q5" s="12">
        <v>0.15</v>
      </c>
      <c r="R5" s="10">
        <f t="shared" si="2"/>
        <v>220.55399999999997</v>
      </c>
      <c r="T5" s="16"/>
      <c r="U5" s="10">
        <v>0</v>
      </c>
      <c r="V5" s="12">
        <v>1</v>
      </c>
      <c r="W5" s="12">
        <v>0.2</v>
      </c>
      <c r="X5" s="10">
        <f t="shared" si="3"/>
        <v>0</v>
      </c>
      <c r="Z5" s="16"/>
      <c r="AA5" s="10">
        <v>0</v>
      </c>
      <c r="AB5" s="12">
        <v>1</v>
      </c>
      <c r="AC5" s="12">
        <v>0.2</v>
      </c>
      <c r="AD5" s="10">
        <f t="shared" si="4"/>
        <v>0</v>
      </c>
    </row>
    <row r="6" spans="1:30" x14ac:dyDescent="0.35">
      <c r="A6" s="37" t="s">
        <v>273</v>
      </c>
      <c r="B6" s="38">
        <v>4212.3</v>
      </c>
      <c r="C6" s="12">
        <v>1</v>
      </c>
      <c r="D6" s="12">
        <v>0.2</v>
      </c>
      <c r="E6" s="10">
        <f t="shared" si="0"/>
        <v>842.46</v>
      </c>
      <c r="G6" s="16"/>
      <c r="H6" s="10">
        <v>0</v>
      </c>
      <c r="I6" s="12">
        <v>1</v>
      </c>
      <c r="J6" s="12">
        <v>0.2</v>
      </c>
      <c r="K6" s="10">
        <f t="shared" si="1"/>
        <v>0</v>
      </c>
      <c r="N6" s="37" t="s">
        <v>281</v>
      </c>
      <c r="O6" s="50">
        <v>3755.12</v>
      </c>
      <c r="P6" s="12">
        <v>1</v>
      </c>
      <c r="Q6" s="12">
        <v>0.15</v>
      </c>
      <c r="R6" s="10">
        <f t="shared" si="2"/>
        <v>563.26799999999992</v>
      </c>
      <c r="T6" s="16"/>
      <c r="U6" s="10">
        <v>0</v>
      </c>
      <c r="V6" s="12">
        <v>1</v>
      </c>
      <c r="W6" s="12">
        <v>0.2</v>
      </c>
      <c r="X6" s="10">
        <f t="shared" si="3"/>
        <v>0</v>
      </c>
      <c r="Z6" s="16"/>
      <c r="AA6" s="10">
        <v>0</v>
      </c>
      <c r="AB6" s="12">
        <v>1</v>
      </c>
      <c r="AC6" s="12">
        <v>0.2</v>
      </c>
      <c r="AD6" s="10">
        <f t="shared" si="4"/>
        <v>0</v>
      </c>
    </row>
    <row r="7" spans="1:30" x14ac:dyDescent="0.35">
      <c r="A7" s="37" t="s">
        <v>274</v>
      </c>
      <c r="B7" s="38">
        <v>3073.06</v>
      </c>
      <c r="C7" s="12">
        <v>0.75</v>
      </c>
      <c r="D7" s="12">
        <v>0.2</v>
      </c>
      <c r="E7" s="10">
        <f t="shared" si="0"/>
        <v>460.95900000000006</v>
      </c>
      <c r="G7" s="16"/>
      <c r="H7" s="10">
        <v>0</v>
      </c>
      <c r="I7" s="12">
        <v>1</v>
      </c>
      <c r="J7" s="12">
        <v>0.2</v>
      </c>
      <c r="K7" s="10">
        <f t="shared" si="1"/>
        <v>0</v>
      </c>
      <c r="N7" s="39" t="s">
        <v>282</v>
      </c>
      <c r="O7" s="49">
        <v>15894.31</v>
      </c>
      <c r="P7" s="12">
        <v>1</v>
      </c>
      <c r="Q7" s="12">
        <v>0.2</v>
      </c>
      <c r="R7" s="10">
        <f t="shared" si="2"/>
        <v>3178.8620000000001</v>
      </c>
      <c r="T7" s="16"/>
      <c r="U7" s="10">
        <v>0</v>
      </c>
      <c r="V7" s="12">
        <v>1</v>
      </c>
      <c r="W7" s="12">
        <v>0.2</v>
      </c>
      <c r="X7" s="10">
        <f t="shared" si="3"/>
        <v>0</v>
      </c>
      <c r="Z7" s="16"/>
      <c r="AA7" s="10">
        <v>0</v>
      </c>
      <c r="AB7" s="12">
        <v>1</v>
      </c>
      <c r="AC7" s="12">
        <v>0.2</v>
      </c>
      <c r="AD7" s="10">
        <f t="shared" si="4"/>
        <v>0</v>
      </c>
    </row>
    <row r="8" spans="1:30" x14ac:dyDescent="0.35">
      <c r="A8" s="39" t="s">
        <v>275</v>
      </c>
      <c r="B8" s="40">
        <v>32586.99</v>
      </c>
      <c r="C8" s="12">
        <v>1</v>
      </c>
      <c r="D8" s="12">
        <v>0.2</v>
      </c>
      <c r="E8" s="10">
        <f t="shared" si="0"/>
        <v>6517.398000000001</v>
      </c>
      <c r="G8" s="16"/>
      <c r="H8" s="10">
        <v>0</v>
      </c>
      <c r="I8" s="12">
        <v>1</v>
      </c>
      <c r="J8" s="12">
        <v>0.2</v>
      </c>
      <c r="K8" s="10">
        <f t="shared" si="1"/>
        <v>0</v>
      </c>
      <c r="N8" s="39" t="s">
        <v>283</v>
      </c>
      <c r="O8" s="49">
        <v>11976.88</v>
      </c>
      <c r="P8" s="12">
        <v>1</v>
      </c>
      <c r="Q8" s="12">
        <v>0.2</v>
      </c>
      <c r="R8" s="10">
        <f t="shared" si="2"/>
        <v>2395.3759999999997</v>
      </c>
      <c r="T8" s="16"/>
      <c r="U8" s="10">
        <v>0</v>
      </c>
      <c r="V8" s="12">
        <v>1</v>
      </c>
      <c r="W8" s="12">
        <v>0.2</v>
      </c>
      <c r="X8" s="10">
        <f t="shared" si="3"/>
        <v>0</v>
      </c>
      <c r="Z8" s="16"/>
      <c r="AA8" s="10">
        <v>0</v>
      </c>
      <c r="AB8" s="12">
        <v>1</v>
      </c>
      <c r="AC8" s="12">
        <v>0.2</v>
      </c>
      <c r="AD8" s="10">
        <f t="shared" si="4"/>
        <v>0</v>
      </c>
    </row>
    <row r="9" spans="1:30" x14ac:dyDescent="0.35">
      <c r="A9" s="16"/>
      <c r="B9" s="10">
        <v>0</v>
      </c>
      <c r="C9" s="12">
        <v>1</v>
      </c>
      <c r="D9" s="12">
        <v>0.2</v>
      </c>
      <c r="E9" s="10">
        <f t="shared" si="0"/>
        <v>0</v>
      </c>
      <c r="G9" s="16"/>
      <c r="H9" s="10">
        <v>0</v>
      </c>
      <c r="I9" s="12">
        <v>1</v>
      </c>
      <c r="J9" s="12">
        <v>0.2</v>
      </c>
      <c r="K9" s="10">
        <f t="shared" si="1"/>
        <v>0</v>
      </c>
      <c r="N9" s="37" t="s">
        <v>285</v>
      </c>
      <c r="O9" s="50">
        <v>942.58</v>
      </c>
      <c r="P9" s="12">
        <v>1</v>
      </c>
      <c r="Q9" s="12">
        <v>0.2</v>
      </c>
      <c r="R9" s="10">
        <f t="shared" si="2"/>
        <v>188.51600000000002</v>
      </c>
      <c r="T9" s="16"/>
      <c r="U9" s="10">
        <v>0</v>
      </c>
      <c r="V9" s="12">
        <v>1</v>
      </c>
      <c r="W9" s="12">
        <v>0.2</v>
      </c>
      <c r="X9" s="10">
        <f t="shared" si="3"/>
        <v>0</v>
      </c>
      <c r="Z9" s="16"/>
      <c r="AA9" s="10">
        <v>0</v>
      </c>
      <c r="AB9" s="12">
        <v>1</v>
      </c>
      <c r="AC9" s="12">
        <v>0.2</v>
      </c>
      <c r="AD9" s="10">
        <f t="shared" si="4"/>
        <v>0</v>
      </c>
    </row>
    <row r="10" spans="1:30" x14ac:dyDescent="0.35">
      <c r="A10" s="16"/>
      <c r="B10" s="10">
        <v>0</v>
      </c>
      <c r="C10" s="12">
        <v>1</v>
      </c>
      <c r="D10" s="12">
        <v>0.2</v>
      </c>
      <c r="E10" s="10">
        <f t="shared" si="0"/>
        <v>0</v>
      </c>
      <c r="G10" s="16"/>
      <c r="H10" s="10">
        <v>0</v>
      </c>
      <c r="I10" s="12">
        <v>1</v>
      </c>
      <c r="J10" s="12">
        <v>0.2</v>
      </c>
      <c r="K10" s="10">
        <f t="shared" si="1"/>
        <v>0</v>
      </c>
      <c r="N10" s="37" t="s">
        <v>284</v>
      </c>
      <c r="O10" s="50">
        <v>2165.4299999999998</v>
      </c>
      <c r="P10" s="12">
        <v>1</v>
      </c>
      <c r="Q10" s="12">
        <v>0.2</v>
      </c>
      <c r="R10" s="10">
        <f t="shared" si="2"/>
        <v>433.08600000000001</v>
      </c>
      <c r="T10" s="16"/>
      <c r="U10" s="10">
        <v>0</v>
      </c>
      <c r="V10" s="12">
        <v>1</v>
      </c>
      <c r="W10" s="12">
        <v>0.2</v>
      </c>
      <c r="X10" s="10">
        <f t="shared" si="3"/>
        <v>0</v>
      </c>
      <c r="Z10" s="16"/>
      <c r="AA10" s="10">
        <v>0</v>
      </c>
      <c r="AB10" s="12">
        <v>1</v>
      </c>
      <c r="AC10" s="12">
        <v>0.2</v>
      </c>
      <c r="AD10" s="10">
        <f t="shared" si="4"/>
        <v>0</v>
      </c>
    </row>
    <row r="11" spans="1:30" ht="15.5" x14ac:dyDescent="0.35">
      <c r="A11" s="16"/>
      <c r="B11" s="10">
        <v>0</v>
      </c>
      <c r="C11" s="12">
        <v>1</v>
      </c>
      <c r="D11" s="12">
        <v>0.2</v>
      </c>
      <c r="E11" s="10">
        <f t="shared" si="0"/>
        <v>0</v>
      </c>
      <c r="G11" s="16"/>
      <c r="H11" s="10">
        <v>0</v>
      </c>
      <c r="I11" s="12">
        <v>1</v>
      </c>
      <c r="J11" s="12">
        <v>0.2</v>
      </c>
      <c r="K11" s="10">
        <f t="shared" si="1"/>
        <v>0</v>
      </c>
      <c r="N11" s="39" t="s">
        <v>280</v>
      </c>
      <c r="O11" s="51">
        <v>614.41999999999996</v>
      </c>
      <c r="P11" s="12">
        <v>1</v>
      </c>
      <c r="Q11" s="12">
        <v>0.15</v>
      </c>
      <c r="R11" s="10">
        <f t="shared" si="2"/>
        <v>92.162999999999997</v>
      </c>
      <c r="T11" s="16"/>
      <c r="U11" s="10">
        <v>0</v>
      </c>
      <c r="V11" s="12">
        <v>1</v>
      </c>
      <c r="W11" s="12">
        <v>0.2</v>
      </c>
      <c r="X11" s="10">
        <f t="shared" si="3"/>
        <v>0</v>
      </c>
      <c r="Z11" s="16"/>
      <c r="AA11" s="10">
        <v>0</v>
      </c>
      <c r="AB11" s="12">
        <v>1</v>
      </c>
      <c r="AC11" s="12">
        <v>0.2</v>
      </c>
      <c r="AD11" s="10">
        <f t="shared" si="4"/>
        <v>0</v>
      </c>
    </row>
    <row r="12" spans="1:30" x14ac:dyDescent="0.35">
      <c r="A12" s="16"/>
      <c r="B12" s="10">
        <v>0</v>
      </c>
      <c r="C12" s="12">
        <v>1</v>
      </c>
      <c r="D12" s="12">
        <v>0.2</v>
      </c>
      <c r="E12" s="10">
        <f t="shared" si="0"/>
        <v>0</v>
      </c>
      <c r="G12" s="16"/>
      <c r="H12" s="10">
        <v>0</v>
      </c>
      <c r="I12" s="12">
        <v>1</v>
      </c>
      <c r="J12" s="12">
        <v>0.2</v>
      </c>
      <c r="K12" s="10">
        <f t="shared" si="1"/>
        <v>0</v>
      </c>
      <c r="N12" s="39" t="s">
        <v>280</v>
      </c>
      <c r="O12" s="52">
        <v>1632.6</v>
      </c>
      <c r="P12" s="12">
        <v>1</v>
      </c>
      <c r="Q12" s="12">
        <v>0.15</v>
      </c>
      <c r="R12" s="10">
        <f t="shared" si="2"/>
        <v>244.89</v>
      </c>
      <c r="T12" s="16"/>
      <c r="U12" s="10">
        <v>0</v>
      </c>
      <c r="V12" s="12">
        <v>1</v>
      </c>
      <c r="W12" s="12">
        <v>0.2</v>
      </c>
      <c r="X12" s="10">
        <f t="shared" si="3"/>
        <v>0</v>
      </c>
      <c r="Z12" s="16"/>
      <c r="AA12" s="10">
        <v>0</v>
      </c>
      <c r="AB12" s="12">
        <v>1</v>
      </c>
      <c r="AC12" s="12">
        <v>0.2</v>
      </c>
      <c r="AD12" s="10">
        <f t="shared" si="4"/>
        <v>0</v>
      </c>
    </row>
    <row r="13" spans="1:30" x14ac:dyDescent="0.35">
      <c r="A13" s="16"/>
      <c r="B13" s="10">
        <v>0</v>
      </c>
      <c r="C13" s="12">
        <v>1</v>
      </c>
      <c r="D13" s="12">
        <v>0.2</v>
      </c>
      <c r="E13" s="10">
        <f t="shared" si="0"/>
        <v>0</v>
      </c>
      <c r="G13" s="16"/>
      <c r="H13" s="10">
        <v>0</v>
      </c>
      <c r="I13" s="12">
        <v>1</v>
      </c>
      <c r="J13" s="12">
        <v>0.2</v>
      </c>
      <c r="K13" s="10">
        <f t="shared" si="1"/>
        <v>0</v>
      </c>
      <c r="N13" s="16"/>
      <c r="O13" s="10">
        <v>0</v>
      </c>
      <c r="P13" s="12">
        <v>1</v>
      </c>
      <c r="Q13" s="12">
        <v>0.2</v>
      </c>
      <c r="R13" s="10">
        <f t="shared" si="2"/>
        <v>0</v>
      </c>
      <c r="T13" s="16"/>
      <c r="U13" s="10">
        <v>0</v>
      </c>
      <c r="V13" s="12">
        <v>1</v>
      </c>
      <c r="W13" s="12">
        <v>0.2</v>
      </c>
      <c r="X13" s="10">
        <f t="shared" si="3"/>
        <v>0</v>
      </c>
      <c r="Z13" s="16"/>
      <c r="AA13" s="10">
        <v>0</v>
      </c>
      <c r="AB13" s="12">
        <v>1</v>
      </c>
      <c r="AC13" s="12">
        <v>0.2</v>
      </c>
      <c r="AD13" s="10">
        <f t="shared" si="4"/>
        <v>0</v>
      </c>
    </row>
    <row r="14" spans="1:30" x14ac:dyDescent="0.35">
      <c r="A14" s="16"/>
      <c r="B14" s="10">
        <v>0</v>
      </c>
      <c r="C14" s="12">
        <v>1</v>
      </c>
      <c r="D14" s="12">
        <v>0.2</v>
      </c>
      <c r="E14" s="10">
        <f t="shared" si="0"/>
        <v>0</v>
      </c>
      <c r="G14" s="16"/>
      <c r="H14" s="10">
        <v>0</v>
      </c>
      <c r="I14" s="12">
        <v>1</v>
      </c>
      <c r="J14" s="12">
        <v>0.2</v>
      </c>
      <c r="K14" s="10">
        <f t="shared" si="1"/>
        <v>0</v>
      </c>
      <c r="N14" s="16"/>
      <c r="O14" s="10">
        <v>0</v>
      </c>
      <c r="P14" s="12">
        <v>1</v>
      </c>
      <c r="Q14" s="12">
        <v>0.2</v>
      </c>
      <c r="R14" s="10">
        <f t="shared" si="2"/>
        <v>0</v>
      </c>
      <c r="T14" s="16"/>
      <c r="U14" s="10">
        <v>0</v>
      </c>
      <c r="V14" s="12">
        <v>1</v>
      </c>
      <c r="W14" s="12">
        <v>0.2</v>
      </c>
      <c r="X14" s="10">
        <f t="shared" si="3"/>
        <v>0</v>
      </c>
      <c r="Z14" s="16"/>
      <c r="AA14" s="10">
        <v>0</v>
      </c>
      <c r="AB14" s="12">
        <v>1</v>
      </c>
      <c r="AC14" s="12">
        <v>0.2</v>
      </c>
      <c r="AD14" s="10">
        <f t="shared" si="4"/>
        <v>0</v>
      </c>
    </row>
    <row r="15" spans="1:30" x14ac:dyDescent="0.35">
      <c r="A15" s="16"/>
      <c r="B15" s="10">
        <v>0</v>
      </c>
      <c r="C15" s="12">
        <v>1</v>
      </c>
      <c r="D15" s="12">
        <v>0.2</v>
      </c>
      <c r="E15" s="10">
        <f t="shared" si="0"/>
        <v>0</v>
      </c>
      <c r="G15" s="16"/>
      <c r="H15" s="10">
        <v>0</v>
      </c>
      <c r="I15" s="12">
        <v>1</v>
      </c>
      <c r="J15" s="12">
        <v>0.2</v>
      </c>
      <c r="K15" s="10">
        <f t="shared" si="1"/>
        <v>0</v>
      </c>
      <c r="N15" s="16"/>
      <c r="O15" s="10">
        <v>0</v>
      </c>
      <c r="P15" s="12">
        <v>1</v>
      </c>
      <c r="Q15" s="12">
        <v>0.2</v>
      </c>
      <c r="R15" s="10">
        <f t="shared" si="2"/>
        <v>0</v>
      </c>
      <c r="T15" s="16"/>
      <c r="U15" s="10">
        <v>0</v>
      </c>
      <c r="V15" s="12">
        <v>1</v>
      </c>
      <c r="W15" s="12">
        <v>0.2</v>
      </c>
      <c r="X15" s="10">
        <f t="shared" si="3"/>
        <v>0</v>
      </c>
      <c r="Z15" s="16"/>
      <c r="AA15" s="10">
        <v>0</v>
      </c>
      <c r="AB15" s="12">
        <v>1</v>
      </c>
      <c r="AC15" s="12">
        <v>0.2</v>
      </c>
      <c r="AD15" s="10">
        <f t="shared" si="4"/>
        <v>0</v>
      </c>
    </row>
    <row r="16" spans="1:30" x14ac:dyDescent="0.35">
      <c r="A16" s="16"/>
      <c r="B16" s="10">
        <v>0</v>
      </c>
      <c r="C16" s="12">
        <v>1</v>
      </c>
      <c r="D16" s="12">
        <v>0.2</v>
      </c>
      <c r="E16" s="10">
        <f t="shared" si="0"/>
        <v>0</v>
      </c>
      <c r="G16" s="16"/>
      <c r="H16" s="10">
        <v>0</v>
      </c>
      <c r="I16" s="12">
        <v>1</v>
      </c>
      <c r="J16" s="12">
        <v>0.2</v>
      </c>
      <c r="K16" s="10">
        <f t="shared" si="1"/>
        <v>0</v>
      </c>
      <c r="N16" s="16"/>
      <c r="O16" s="10">
        <v>0</v>
      </c>
      <c r="P16" s="12">
        <v>1</v>
      </c>
      <c r="Q16" s="12">
        <v>0.2</v>
      </c>
      <c r="R16" s="10">
        <f t="shared" si="2"/>
        <v>0</v>
      </c>
      <c r="T16" s="16"/>
      <c r="U16" s="10">
        <v>0</v>
      </c>
      <c r="V16" s="12">
        <v>1</v>
      </c>
      <c r="W16" s="12">
        <v>0.2</v>
      </c>
      <c r="X16" s="10">
        <f t="shared" si="3"/>
        <v>0</v>
      </c>
      <c r="Z16" s="16"/>
      <c r="AA16" s="10">
        <v>0</v>
      </c>
      <c r="AB16" s="12">
        <v>1</v>
      </c>
      <c r="AC16" s="12">
        <v>0.2</v>
      </c>
      <c r="AD16" s="10">
        <f t="shared" si="4"/>
        <v>0</v>
      </c>
    </row>
    <row r="17" spans="1:30" ht="15" thickBot="1" x14ac:dyDescent="0.4">
      <c r="A17" s="17"/>
      <c r="B17" s="19">
        <v>0</v>
      </c>
      <c r="C17" s="20">
        <v>1</v>
      </c>
      <c r="D17" s="20">
        <v>0.15</v>
      </c>
      <c r="E17" s="19">
        <f t="shared" si="0"/>
        <v>0</v>
      </c>
      <c r="G17" s="17"/>
      <c r="H17" s="19">
        <v>0</v>
      </c>
      <c r="I17" s="20">
        <v>1</v>
      </c>
      <c r="J17" s="12">
        <v>0.2</v>
      </c>
      <c r="K17" s="19">
        <f t="shared" si="1"/>
        <v>0</v>
      </c>
      <c r="N17" s="17"/>
      <c r="O17" s="19">
        <v>0</v>
      </c>
      <c r="P17" s="20">
        <v>1</v>
      </c>
      <c r="Q17" s="12">
        <v>0.2</v>
      </c>
      <c r="R17" s="19">
        <f t="shared" si="2"/>
        <v>0</v>
      </c>
      <c r="T17" s="17"/>
      <c r="U17" s="19">
        <v>0</v>
      </c>
      <c r="V17" s="20">
        <v>1</v>
      </c>
      <c r="W17" s="12">
        <v>0.2</v>
      </c>
      <c r="X17" s="19">
        <f t="shared" si="3"/>
        <v>0</v>
      </c>
      <c r="Z17" s="17"/>
      <c r="AA17" s="19">
        <v>0</v>
      </c>
      <c r="AB17" s="20">
        <v>1</v>
      </c>
      <c r="AC17" s="12">
        <v>0.2</v>
      </c>
      <c r="AD17" s="19">
        <f t="shared" si="4"/>
        <v>0</v>
      </c>
    </row>
    <row r="18" spans="1:30" x14ac:dyDescent="0.35">
      <c r="A18" t="s">
        <v>289</v>
      </c>
      <c r="B18" s="43"/>
      <c r="C18" s="44"/>
      <c r="D18" s="44"/>
      <c r="E18" s="53">
        <f>K18*0.03</f>
        <v>0</v>
      </c>
      <c r="K18" s="1">
        <f>SUM(K3:K17)</f>
        <v>0</v>
      </c>
      <c r="O18" s="32">
        <f>SUM(O3:O17)</f>
        <v>49568.229999999996</v>
      </c>
      <c r="R18" s="1">
        <f>SUM(R3:R17)</f>
        <v>8984.1944999999996</v>
      </c>
      <c r="X18" s="1">
        <f>SUM(X3:X17)</f>
        <v>0</v>
      </c>
      <c r="AD18" s="1">
        <f>SUM(AD3:AD17)</f>
        <v>0</v>
      </c>
    </row>
    <row r="19" spans="1:30" x14ac:dyDescent="0.35">
      <c r="A19" t="s">
        <v>286</v>
      </c>
      <c r="B19" s="41"/>
      <c r="C19" s="42"/>
      <c r="D19" s="42"/>
      <c r="E19" s="41">
        <f>O18*0.03</f>
        <v>1487.0468999999998</v>
      </c>
    </row>
    <row r="20" spans="1:30" x14ac:dyDescent="0.35">
      <c r="A20" t="s">
        <v>287</v>
      </c>
      <c r="B20" s="45"/>
      <c r="C20" s="46"/>
      <c r="D20" s="46"/>
      <c r="E20" s="45">
        <f>X18*0.03</f>
        <v>0</v>
      </c>
    </row>
    <row r="21" spans="1:30" x14ac:dyDescent="0.35">
      <c r="A21" t="s">
        <v>288</v>
      </c>
      <c r="B21" s="47"/>
      <c r="C21" s="48"/>
      <c r="D21" s="48"/>
      <c r="E21" s="54">
        <f>AD18*0.03</f>
        <v>0</v>
      </c>
    </row>
    <row r="22" spans="1:30" x14ac:dyDescent="0.35">
      <c r="E22" s="1">
        <f>SUM(E3:E21)</f>
        <v>17921.932900000007</v>
      </c>
    </row>
  </sheetData>
  <mergeCells count="5">
    <mergeCell ref="A1:E1"/>
    <mergeCell ref="N1:R1"/>
    <mergeCell ref="T1:X1"/>
    <mergeCell ref="Z1:AD1"/>
    <mergeCell ref="G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7E2B-4CB3-4423-8CE3-51087888B840}">
  <dimension ref="A1:P87"/>
  <sheetViews>
    <sheetView workbookViewId="0">
      <selection activeCell="A2" sqref="A2:K2"/>
    </sheetView>
  </sheetViews>
  <sheetFormatPr defaultRowHeight="14.5" x14ac:dyDescent="0.35"/>
  <sheetData>
    <row r="1" spans="1:16" ht="26" x14ac:dyDescent="0.6">
      <c r="A1" s="72" t="s">
        <v>292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6" ht="19.5" customHeight="1" x14ac:dyDescent="0.45">
      <c r="A2" s="73" t="s">
        <v>293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4" spans="1:16" ht="18.5" x14ac:dyDescent="0.45">
      <c r="B4" s="62" t="s">
        <v>294</v>
      </c>
      <c r="C4" s="55"/>
      <c r="D4" s="55"/>
    </row>
    <row r="6" spans="1:16" ht="16" x14ac:dyDescent="0.4">
      <c r="B6" s="56" t="s">
        <v>295</v>
      </c>
    </row>
    <row r="7" spans="1:16" ht="16" x14ac:dyDescent="0.4">
      <c r="B7" s="56" t="s">
        <v>296</v>
      </c>
    </row>
    <row r="8" spans="1:16" ht="16" x14ac:dyDescent="0.4">
      <c r="B8" s="56" t="s">
        <v>297</v>
      </c>
    </row>
    <row r="10" spans="1:16" ht="18.5" x14ac:dyDescent="0.45">
      <c r="B10" s="57" t="s">
        <v>298</v>
      </c>
    </row>
    <row r="11" spans="1:16" ht="16" x14ac:dyDescent="0.35">
      <c r="P11" s="59"/>
    </row>
    <row r="12" spans="1:16" ht="16" x14ac:dyDescent="0.35">
      <c r="B12" s="61" t="s">
        <v>299</v>
      </c>
    </row>
    <row r="13" spans="1:16" x14ac:dyDescent="0.35">
      <c r="B13" s="58"/>
    </row>
    <row r="14" spans="1:16" ht="16" x14ac:dyDescent="0.35">
      <c r="B14" s="59" t="s">
        <v>300</v>
      </c>
    </row>
    <row r="15" spans="1:16" ht="16" x14ac:dyDescent="0.35">
      <c r="B15" s="59" t="s">
        <v>301</v>
      </c>
    </row>
    <row r="16" spans="1:16" ht="16" x14ac:dyDescent="0.35">
      <c r="B16" s="59" t="s">
        <v>302</v>
      </c>
    </row>
    <row r="17" spans="2:2" ht="16" x14ac:dyDescent="0.35">
      <c r="B17" s="59" t="s">
        <v>303</v>
      </c>
    </row>
    <row r="18" spans="2:2" ht="16" x14ac:dyDescent="0.35">
      <c r="B18" s="59" t="s">
        <v>304</v>
      </c>
    </row>
    <row r="19" spans="2:2" ht="16" x14ac:dyDescent="0.35">
      <c r="B19" s="59" t="s">
        <v>305</v>
      </c>
    </row>
    <row r="20" spans="2:2" ht="16" x14ac:dyDescent="0.35">
      <c r="B20" s="59" t="s">
        <v>306</v>
      </c>
    </row>
    <row r="21" spans="2:2" ht="16" x14ac:dyDescent="0.35">
      <c r="B21" s="59"/>
    </row>
    <row r="22" spans="2:2" ht="16" x14ac:dyDescent="0.35">
      <c r="B22" s="61" t="s">
        <v>308</v>
      </c>
    </row>
    <row r="23" spans="2:2" x14ac:dyDescent="0.35">
      <c r="B23" s="58"/>
    </row>
    <row r="24" spans="2:2" ht="16" x14ac:dyDescent="0.35">
      <c r="B24" s="59" t="s">
        <v>309</v>
      </c>
    </row>
    <row r="25" spans="2:2" ht="16" x14ac:dyDescent="0.35">
      <c r="B25" s="59" t="s">
        <v>310</v>
      </c>
    </row>
    <row r="26" spans="2:2" ht="16" x14ac:dyDescent="0.35">
      <c r="B26" s="59" t="s">
        <v>311</v>
      </c>
    </row>
    <row r="27" spans="2:2" ht="16" x14ac:dyDescent="0.35">
      <c r="B27" s="59" t="s">
        <v>312</v>
      </c>
    </row>
    <row r="28" spans="2:2" ht="16" x14ac:dyDescent="0.35">
      <c r="B28" s="59" t="s">
        <v>303</v>
      </c>
    </row>
    <row r="29" spans="2:2" ht="16" x14ac:dyDescent="0.35">
      <c r="B29" s="59" t="s">
        <v>313</v>
      </c>
    </row>
    <row r="30" spans="2:2" ht="16" x14ac:dyDescent="0.35">
      <c r="B30" s="59" t="s">
        <v>305</v>
      </c>
    </row>
    <row r="31" spans="2:2" ht="16" x14ac:dyDescent="0.35">
      <c r="B31" s="59" t="s">
        <v>314</v>
      </c>
    </row>
    <row r="32" spans="2:2" ht="16" x14ac:dyDescent="0.35">
      <c r="B32" s="59" t="s">
        <v>315</v>
      </c>
    </row>
    <row r="33" spans="2:2" ht="16" x14ac:dyDescent="0.35">
      <c r="B33" s="59" t="s">
        <v>316</v>
      </c>
    </row>
    <row r="34" spans="2:2" ht="16" x14ac:dyDescent="0.35">
      <c r="B34" s="59" t="s">
        <v>317</v>
      </c>
    </row>
    <row r="35" spans="2:2" ht="16" x14ac:dyDescent="0.35">
      <c r="B35" s="59" t="s">
        <v>318</v>
      </c>
    </row>
    <row r="36" spans="2:2" ht="16" x14ac:dyDescent="0.35">
      <c r="B36" s="59" t="s">
        <v>319</v>
      </c>
    </row>
    <row r="37" spans="2:2" ht="16" x14ac:dyDescent="0.35">
      <c r="B37" s="59" t="s">
        <v>320</v>
      </c>
    </row>
    <row r="38" spans="2:2" x14ac:dyDescent="0.35">
      <c r="B38" s="58"/>
    </row>
    <row r="39" spans="2:2" x14ac:dyDescent="0.35">
      <c r="B39" s="58"/>
    </row>
    <row r="40" spans="2:2" ht="18.5" x14ac:dyDescent="0.35">
      <c r="B40" s="63" t="s">
        <v>321</v>
      </c>
    </row>
    <row r="41" spans="2:2" x14ac:dyDescent="0.35">
      <c r="B41" s="58"/>
    </row>
    <row r="42" spans="2:2" ht="16" x14ac:dyDescent="0.35">
      <c r="B42" s="59" t="s">
        <v>322</v>
      </c>
    </row>
    <row r="43" spans="2:2" ht="16" x14ac:dyDescent="0.35">
      <c r="B43" s="59" t="s">
        <v>323</v>
      </c>
    </row>
    <row r="44" spans="2:2" x14ac:dyDescent="0.35">
      <c r="B44" s="58"/>
    </row>
    <row r="45" spans="2:2" ht="16" x14ac:dyDescent="0.35">
      <c r="B45" s="59" t="s">
        <v>324</v>
      </c>
    </row>
    <row r="46" spans="2:2" ht="16" x14ac:dyDescent="0.35">
      <c r="B46" s="59" t="s">
        <v>325</v>
      </c>
    </row>
    <row r="47" spans="2:2" x14ac:dyDescent="0.35">
      <c r="B47" s="58"/>
    </row>
    <row r="48" spans="2:2" ht="16" x14ac:dyDescent="0.35">
      <c r="B48" s="59" t="s">
        <v>326</v>
      </c>
    </row>
    <row r="49" spans="2:2" ht="16" x14ac:dyDescent="0.35">
      <c r="B49" s="59" t="s">
        <v>327</v>
      </c>
    </row>
    <row r="50" spans="2:2" ht="16" x14ac:dyDescent="0.35">
      <c r="B50" s="59" t="s">
        <v>328</v>
      </c>
    </row>
    <row r="51" spans="2:2" ht="16" x14ac:dyDescent="0.35">
      <c r="B51" s="59" t="s">
        <v>329</v>
      </c>
    </row>
    <row r="52" spans="2:2" ht="16" x14ac:dyDescent="0.35">
      <c r="B52" s="59" t="s">
        <v>330</v>
      </c>
    </row>
    <row r="53" spans="2:2" ht="16" x14ac:dyDescent="0.35">
      <c r="B53" s="59" t="s">
        <v>331</v>
      </c>
    </row>
    <row r="54" spans="2:2" x14ac:dyDescent="0.35">
      <c r="B54" s="58"/>
    </row>
    <row r="55" spans="2:2" ht="16" x14ac:dyDescent="0.35">
      <c r="B55" s="59" t="s">
        <v>332</v>
      </c>
    </row>
    <row r="56" spans="2:2" ht="17.5" x14ac:dyDescent="0.35">
      <c r="B56" s="60" t="s">
        <v>307</v>
      </c>
    </row>
    <row r="57" spans="2:2" x14ac:dyDescent="0.35">
      <c r="B57" s="58"/>
    </row>
    <row r="58" spans="2:2" ht="18.5" x14ac:dyDescent="0.35">
      <c r="B58" s="63" t="s">
        <v>333</v>
      </c>
    </row>
    <row r="59" spans="2:2" x14ac:dyDescent="0.35">
      <c r="B59" s="58"/>
    </row>
    <row r="60" spans="2:2" ht="16" x14ac:dyDescent="0.35">
      <c r="B60" s="59" t="s">
        <v>334</v>
      </c>
    </row>
    <row r="61" spans="2:2" ht="16" x14ac:dyDescent="0.35">
      <c r="B61" s="59" t="s">
        <v>335</v>
      </c>
    </row>
    <row r="62" spans="2:2" ht="16" x14ac:dyDescent="0.35">
      <c r="B62" s="59" t="s">
        <v>336</v>
      </c>
    </row>
    <row r="63" spans="2:2" ht="16" x14ac:dyDescent="0.35">
      <c r="B63" s="59" t="s">
        <v>337</v>
      </c>
    </row>
    <row r="64" spans="2:2" ht="16" x14ac:dyDescent="0.35">
      <c r="B64" s="59" t="s">
        <v>338</v>
      </c>
    </row>
    <row r="65" spans="2:2" ht="16" x14ac:dyDescent="0.35">
      <c r="B65" s="59" t="s">
        <v>339</v>
      </c>
    </row>
    <row r="66" spans="2:2" ht="17.5" x14ac:dyDescent="0.35">
      <c r="B66" s="60" t="s">
        <v>307</v>
      </c>
    </row>
    <row r="67" spans="2:2" x14ac:dyDescent="0.35">
      <c r="B67" s="58"/>
    </row>
    <row r="68" spans="2:2" ht="18.5" x14ac:dyDescent="0.35">
      <c r="B68" s="63" t="s">
        <v>340</v>
      </c>
    </row>
    <row r="69" spans="2:2" x14ac:dyDescent="0.35">
      <c r="B69" s="58"/>
    </row>
    <row r="70" spans="2:2" ht="16" x14ac:dyDescent="0.35">
      <c r="B70" s="59" t="s">
        <v>348</v>
      </c>
    </row>
    <row r="71" spans="2:2" ht="16" x14ac:dyDescent="0.35">
      <c r="B71" s="64" t="s">
        <v>341</v>
      </c>
    </row>
    <row r="72" spans="2:2" x14ac:dyDescent="0.35">
      <c r="B72" s="58"/>
    </row>
    <row r="73" spans="2:2" ht="16" x14ac:dyDescent="0.35">
      <c r="B73" s="59" t="s">
        <v>349</v>
      </c>
    </row>
    <row r="74" spans="2:2" ht="16" x14ac:dyDescent="0.35">
      <c r="B74" s="64" t="s">
        <v>342</v>
      </c>
    </row>
    <row r="75" spans="2:2" x14ac:dyDescent="0.35">
      <c r="B75" s="58"/>
    </row>
    <row r="76" spans="2:2" ht="16" x14ac:dyDescent="0.35">
      <c r="B76" s="59" t="s">
        <v>350</v>
      </c>
    </row>
    <row r="77" spans="2:2" ht="16" x14ac:dyDescent="0.35">
      <c r="B77" s="64" t="s">
        <v>343</v>
      </c>
    </row>
    <row r="78" spans="2:2" x14ac:dyDescent="0.35">
      <c r="B78" s="58"/>
    </row>
    <row r="79" spans="2:2" ht="16" x14ac:dyDescent="0.35">
      <c r="B79" s="59" t="s">
        <v>351</v>
      </c>
    </row>
    <row r="80" spans="2:2" x14ac:dyDescent="0.35">
      <c r="B80" s="58"/>
    </row>
    <row r="81" spans="2:2" ht="17.5" x14ac:dyDescent="0.35">
      <c r="B81" s="60" t="s">
        <v>307</v>
      </c>
    </row>
    <row r="82" spans="2:2" ht="18.5" x14ac:dyDescent="0.35">
      <c r="B82" s="63" t="s">
        <v>344</v>
      </c>
    </row>
    <row r="83" spans="2:2" x14ac:dyDescent="0.35">
      <c r="B83" s="58"/>
    </row>
    <row r="84" spans="2:2" ht="16" x14ac:dyDescent="0.35">
      <c r="B84" s="59" t="s">
        <v>345</v>
      </c>
    </row>
    <row r="85" spans="2:2" x14ac:dyDescent="0.35">
      <c r="B85" s="58"/>
    </row>
    <row r="86" spans="2:2" ht="16" x14ac:dyDescent="0.35">
      <c r="B86" s="59" t="s">
        <v>346</v>
      </c>
    </row>
    <row r="87" spans="2:2" ht="16" x14ac:dyDescent="0.35">
      <c r="B87" s="59" t="s">
        <v>347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AB99-D0ED-42EC-888A-68383DD178F7}">
  <dimension ref="A1:K36"/>
  <sheetViews>
    <sheetView tabSelected="1" topLeftCell="A14" workbookViewId="0">
      <selection activeCell="D36" sqref="D36"/>
    </sheetView>
  </sheetViews>
  <sheetFormatPr defaultRowHeight="14.5" x14ac:dyDescent="0.35"/>
  <cols>
    <col min="1" max="1" width="26.36328125" style="15" bestFit="1" customWidth="1"/>
    <col min="2" max="2" width="26.08984375" customWidth="1"/>
    <col min="3" max="3" width="27.6328125" style="15" customWidth="1"/>
    <col min="4" max="4" width="19.90625" style="76" customWidth="1"/>
    <col min="5" max="5" width="24.81640625" style="88" bestFit="1" customWidth="1"/>
    <col min="6" max="6" width="20.7265625" customWidth="1"/>
    <col min="7" max="7" width="24.81640625" style="15" customWidth="1"/>
    <col min="8" max="8" width="16.6328125" style="15" customWidth="1"/>
    <col min="11" max="11" width="13.6328125" bestFit="1" customWidth="1"/>
  </cols>
  <sheetData>
    <row r="1" spans="1:11" ht="18.5" x14ac:dyDescent="0.45">
      <c r="A1" s="85" t="s">
        <v>370</v>
      </c>
      <c r="B1" s="84" t="s">
        <v>367</v>
      </c>
      <c r="C1" s="85" t="s">
        <v>373</v>
      </c>
      <c r="D1" s="86" t="s">
        <v>368</v>
      </c>
      <c r="E1" s="89" t="s">
        <v>371</v>
      </c>
      <c r="F1" s="85" t="s">
        <v>374</v>
      </c>
      <c r="G1" s="85" t="s">
        <v>372</v>
      </c>
      <c r="H1" s="85" t="s">
        <v>369</v>
      </c>
    </row>
    <row r="2" spans="1:11" x14ac:dyDescent="0.35">
      <c r="A2" s="15">
        <f>H2*B2</f>
        <v>825000</v>
      </c>
      <c r="B2">
        <v>50</v>
      </c>
      <c r="C2" s="15">
        <v>55000000</v>
      </c>
      <c r="D2" s="87">
        <v>7.4999999999999997E-2</v>
      </c>
      <c r="E2" s="88">
        <v>0.2</v>
      </c>
      <c r="F2" s="14">
        <f>C2/B2</f>
        <v>1100000</v>
      </c>
      <c r="G2" s="15">
        <f>C2/B2*D2</f>
        <v>82500</v>
      </c>
      <c r="H2" s="15">
        <f>G2*E2</f>
        <v>16500</v>
      </c>
      <c r="K2" s="14">
        <f>C2/B2</f>
        <v>1100000</v>
      </c>
    </row>
    <row r="3" spans="1:11" x14ac:dyDescent="0.35">
      <c r="A3" s="15">
        <f t="shared" ref="A3:A11" si="0">H3*B3</f>
        <v>825000.00000000012</v>
      </c>
      <c r="B3">
        <v>45</v>
      </c>
      <c r="C3" s="15">
        <v>55000000</v>
      </c>
      <c r="D3" s="87">
        <v>7.4999999999999997E-2</v>
      </c>
      <c r="E3" s="88">
        <v>0.2</v>
      </c>
      <c r="F3" s="14">
        <f t="shared" ref="F3:F10" si="1">C3/B3</f>
        <v>1222222.2222222222</v>
      </c>
      <c r="G3" s="15">
        <f t="shared" ref="G3:G33" si="2">C3/B3*D3</f>
        <v>91666.666666666672</v>
      </c>
      <c r="H3" s="15">
        <f t="shared" ref="H3:H33" si="3">G3*E3</f>
        <v>18333.333333333336</v>
      </c>
      <c r="K3" s="14">
        <f>K2*D2</f>
        <v>82500</v>
      </c>
    </row>
    <row r="4" spans="1:11" x14ac:dyDescent="0.35">
      <c r="A4" s="15">
        <f t="shared" si="0"/>
        <v>825000</v>
      </c>
      <c r="B4">
        <v>40</v>
      </c>
      <c r="C4" s="15">
        <v>55000000</v>
      </c>
      <c r="D4" s="87">
        <v>7.4999999999999997E-2</v>
      </c>
      <c r="E4" s="88">
        <v>0.2</v>
      </c>
      <c r="F4" s="14">
        <f t="shared" si="1"/>
        <v>1375000</v>
      </c>
      <c r="G4" s="15">
        <f t="shared" si="2"/>
        <v>103125</v>
      </c>
      <c r="H4" s="15">
        <f t="shared" si="3"/>
        <v>20625</v>
      </c>
      <c r="K4" s="14">
        <f>G2*E2</f>
        <v>16500</v>
      </c>
    </row>
    <row r="5" spans="1:11" x14ac:dyDescent="0.35">
      <c r="A5" s="15">
        <f t="shared" si="0"/>
        <v>825000</v>
      </c>
      <c r="B5">
        <v>35</v>
      </c>
      <c r="C5" s="15">
        <v>55000000</v>
      </c>
      <c r="D5" s="87">
        <v>7.4999999999999997E-2</v>
      </c>
      <c r="E5" s="88">
        <v>0.2</v>
      </c>
      <c r="F5" s="14">
        <f t="shared" si="1"/>
        <v>1571428.5714285714</v>
      </c>
      <c r="G5" s="15">
        <f t="shared" si="2"/>
        <v>117857.14285714286</v>
      </c>
      <c r="H5" s="15">
        <f t="shared" si="3"/>
        <v>23571.428571428572</v>
      </c>
    </row>
    <row r="6" spans="1:11" x14ac:dyDescent="0.35">
      <c r="A6" s="15">
        <f t="shared" si="0"/>
        <v>825000</v>
      </c>
      <c r="B6">
        <v>30</v>
      </c>
      <c r="C6" s="15">
        <v>55000000</v>
      </c>
      <c r="D6" s="87">
        <v>7.4999999999999997E-2</v>
      </c>
      <c r="E6" s="88">
        <v>0.2</v>
      </c>
      <c r="F6" s="14">
        <f t="shared" si="1"/>
        <v>1833333.3333333333</v>
      </c>
      <c r="G6" s="15">
        <f t="shared" si="2"/>
        <v>137500</v>
      </c>
      <c r="H6" s="15">
        <f t="shared" si="3"/>
        <v>27500</v>
      </c>
    </row>
    <row r="7" spans="1:11" x14ac:dyDescent="0.35">
      <c r="A7" s="15">
        <f t="shared" si="0"/>
        <v>825000</v>
      </c>
      <c r="B7">
        <v>25</v>
      </c>
      <c r="C7" s="15">
        <v>55000000</v>
      </c>
      <c r="D7" s="87">
        <v>7.4999999999999997E-2</v>
      </c>
      <c r="E7" s="88">
        <v>0.2</v>
      </c>
      <c r="F7" s="14">
        <f t="shared" si="1"/>
        <v>2200000</v>
      </c>
      <c r="G7" s="15">
        <f t="shared" si="2"/>
        <v>165000</v>
      </c>
      <c r="H7" s="15">
        <f t="shared" si="3"/>
        <v>33000</v>
      </c>
    </row>
    <row r="8" spans="1:11" x14ac:dyDescent="0.35">
      <c r="A8" s="15">
        <f t="shared" si="0"/>
        <v>825000</v>
      </c>
      <c r="B8">
        <v>20</v>
      </c>
      <c r="C8" s="15">
        <v>55000000</v>
      </c>
      <c r="D8" s="87">
        <v>7.4999999999999997E-2</v>
      </c>
      <c r="E8" s="88">
        <v>0.2</v>
      </c>
      <c r="F8" s="14">
        <f t="shared" si="1"/>
        <v>2750000</v>
      </c>
      <c r="G8" s="15">
        <f t="shared" si="2"/>
        <v>206250</v>
      </c>
      <c r="H8" s="15">
        <f t="shared" si="3"/>
        <v>41250</v>
      </c>
    </row>
    <row r="9" spans="1:11" x14ac:dyDescent="0.35">
      <c r="A9" s="15">
        <f t="shared" si="0"/>
        <v>825000</v>
      </c>
      <c r="B9">
        <v>15</v>
      </c>
      <c r="C9" s="15">
        <v>55000000</v>
      </c>
      <c r="D9" s="87">
        <v>7.4999999999999997E-2</v>
      </c>
      <c r="E9" s="88">
        <v>0.2</v>
      </c>
      <c r="F9" s="14">
        <f t="shared" si="1"/>
        <v>3666666.6666666665</v>
      </c>
      <c r="G9" s="15">
        <f t="shared" si="2"/>
        <v>275000</v>
      </c>
      <c r="H9" s="15">
        <f t="shared" si="3"/>
        <v>55000</v>
      </c>
    </row>
    <row r="10" spans="1:11" x14ac:dyDescent="0.35">
      <c r="A10" s="15">
        <f t="shared" si="0"/>
        <v>825000</v>
      </c>
      <c r="B10">
        <v>10</v>
      </c>
      <c r="C10" s="15">
        <v>55000000</v>
      </c>
      <c r="D10" s="87">
        <v>7.4999999999999997E-2</v>
      </c>
      <c r="E10" s="88">
        <v>0.2</v>
      </c>
      <c r="F10" s="14">
        <f t="shared" si="1"/>
        <v>5500000</v>
      </c>
      <c r="G10" s="15">
        <f t="shared" si="2"/>
        <v>412500</v>
      </c>
      <c r="H10" s="15">
        <f t="shared" si="3"/>
        <v>82500</v>
      </c>
    </row>
    <row r="11" spans="1:11" x14ac:dyDescent="0.35">
      <c r="A11" s="15">
        <f t="shared" si="0"/>
        <v>825000</v>
      </c>
      <c r="B11">
        <v>5</v>
      </c>
      <c r="C11" s="15">
        <v>55000000</v>
      </c>
      <c r="D11" s="87">
        <v>7.4999999999999997E-2</v>
      </c>
      <c r="E11" s="88">
        <v>0.2</v>
      </c>
      <c r="F11" s="14">
        <f>C11/B11</f>
        <v>11000000</v>
      </c>
      <c r="G11" s="15">
        <f t="shared" si="2"/>
        <v>825000</v>
      </c>
      <c r="H11" s="15">
        <f t="shared" si="3"/>
        <v>165000</v>
      </c>
    </row>
    <row r="12" spans="1:11" x14ac:dyDescent="0.35">
      <c r="D12" s="87"/>
    </row>
    <row r="13" spans="1:11" ht="18.5" x14ac:dyDescent="0.45">
      <c r="A13" s="85" t="s">
        <v>376</v>
      </c>
      <c r="B13" s="84" t="s">
        <v>367</v>
      </c>
      <c r="C13" s="85" t="s">
        <v>374</v>
      </c>
      <c r="D13" s="86" t="s">
        <v>368</v>
      </c>
      <c r="E13" s="89" t="s">
        <v>371</v>
      </c>
      <c r="F13" s="85" t="s">
        <v>375</v>
      </c>
      <c r="G13" s="85" t="s">
        <v>372</v>
      </c>
      <c r="H13" s="85" t="s">
        <v>369</v>
      </c>
    </row>
    <row r="14" spans="1:11" x14ac:dyDescent="0.35">
      <c r="A14" s="15">
        <f>B14*C14</f>
        <v>55000000</v>
      </c>
      <c r="B14">
        <v>5</v>
      </c>
      <c r="C14" s="15">
        <v>11000000</v>
      </c>
      <c r="D14" s="87">
        <v>7.4999999999999997E-2</v>
      </c>
      <c r="E14" s="88">
        <v>0.2</v>
      </c>
      <c r="F14" s="14">
        <f>C14*D14*E14</f>
        <v>165000</v>
      </c>
      <c r="G14" s="15">
        <f>B14*C14*D14</f>
        <v>4125000</v>
      </c>
      <c r="H14" s="15">
        <f t="shared" si="3"/>
        <v>825000</v>
      </c>
    </row>
    <row r="15" spans="1:11" x14ac:dyDescent="0.35">
      <c r="A15" s="15">
        <f t="shared" ref="A15:A23" si="4">B15*C15</f>
        <v>55000000</v>
      </c>
      <c r="B15">
        <v>10</v>
      </c>
      <c r="C15" s="15">
        <v>5500000</v>
      </c>
      <c r="D15" s="87">
        <v>7.4999999999999997E-2</v>
      </c>
      <c r="E15" s="88">
        <v>0.2</v>
      </c>
      <c r="F15" s="14">
        <f t="shared" ref="F15:F23" si="5">C15*D15*E15</f>
        <v>82500</v>
      </c>
      <c r="G15" s="15">
        <f t="shared" ref="G15:G23" si="6">B15*C15*D15</f>
        <v>4125000</v>
      </c>
      <c r="H15" s="15">
        <f t="shared" si="3"/>
        <v>825000</v>
      </c>
    </row>
    <row r="16" spans="1:11" x14ac:dyDescent="0.35">
      <c r="A16" s="15">
        <f t="shared" si="4"/>
        <v>56250000</v>
      </c>
      <c r="B16">
        <v>15</v>
      </c>
      <c r="C16" s="15">
        <v>3750000</v>
      </c>
      <c r="D16" s="87">
        <v>7.4999999999999997E-2</v>
      </c>
      <c r="E16" s="88">
        <v>0.2</v>
      </c>
      <c r="F16" s="14">
        <f t="shared" si="5"/>
        <v>56250</v>
      </c>
      <c r="G16" s="15">
        <f t="shared" si="6"/>
        <v>4218750</v>
      </c>
      <c r="H16" s="15">
        <f t="shared" si="3"/>
        <v>843750</v>
      </c>
    </row>
    <row r="17" spans="1:8" x14ac:dyDescent="0.35">
      <c r="A17" s="15">
        <f t="shared" si="4"/>
        <v>55000000</v>
      </c>
      <c r="B17">
        <v>20</v>
      </c>
      <c r="C17" s="15">
        <v>2750000</v>
      </c>
      <c r="D17" s="87">
        <v>7.4999999999999997E-2</v>
      </c>
      <c r="E17" s="88">
        <v>0.2</v>
      </c>
      <c r="F17" s="14">
        <f t="shared" si="5"/>
        <v>41250</v>
      </c>
      <c r="G17" s="15">
        <f t="shared" si="6"/>
        <v>4125000</v>
      </c>
      <c r="H17" s="15">
        <f t="shared" si="3"/>
        <v>825000</v>
      </c>
    </row>
    <row r="18" spans="1:8" x14ac:dyDescent="0.35">
      <c r="A18" s="15">
        <f t="shared" si="4"/>
        <v>55000000</v>
      </c>
      <c r="B18">
        <v>25</v>
      </c>
      <c r="C18" s="15">
        <v>2200000</v>
      </c>
      <c r="D18" s="87">
        <v>7.4999999999999997E-2</v>
      </c>
      <c r="E18" s="88">
        <v>0.2</v>
      </c>
      <c r="F18" s="14">
        <f t="shared" si="5"/>
        <v>33000</v>
      </c>
      <c r="G18" s="15">
        <f t="shared" si="6"/>
        <v>4125000</v>
      </c>
      <c r="H18" s="15">
        <f t="shared" si="3"/>
        <v>825000</v>
      </c>
    </row>
    <row r="19" spans="1:8" x14ac:dyDescent="0.35">
      <c r="A19" s="15">
        <f t="shared" si="4"/>
        <v>55500000</v>
      </c>
      <c r="B19">
        <v>30</v>
      </c>
      <c r="C19" s="15">
        <v>1850000</v>
      </c>
      <c r="D19" s="87">
        <v>7.4999999999999997E-2</v>
      </c>
      <c r="E19" s="88">
        <v>0.2</v>
      </c>
      <c r="F19" s="14">
        <f t="shared" si="5"/>
        <v>27750</v>
      </c>
      <c r="G19" s="15">
        <f t="shared" si="6"/>
        <v>4162500</v>
      </c>
      <c r="H19" s="15">
        <f t="shared" si="3"/>
        <v>832500</v>
      </c>
    </row>
    <row r="20" spans="1:8" x14ac:dyDescent="0.35">
      <c r="A20" s="15">
        <f t="shared" si="4"/>
        <v>54250000</v>
      </c>
      <c r="B20">
        <v>35</v>
      </c>
      <c r="C20" s="15">
        <v>1550000</v>
      </c>
      <c r="D20" s="87">
        <v>7.4999999999999997E-2</v>
      </c>
      <c r="E20" s="88">
        <v>0.2</v>
      </c>
      <c r="F20" s="14">
        <f t="shared" si="5"/>
        <v>23250</v>
      </c>
      <c r="G20" s="15">
        <f t="shared" si="6"/>
        <v>4068750</v>
      </c>
      <c r="H20" s="15">
        <f t="shared" si="3"/>
        <v>813750</v>
      </c>
    </row>
    <row r="21" spans="1:8" x14ac:dyDescent="0.35">
      <c r="A21" s="15">
        <f t="shared" si="4"/>
        <v>55000000</v>
      </c>
      <c r="B21">
        <v>40</v>
      </c>
      <c r="C21" s="15">
        <v>1375000</v>
      </c>
      <c r="D21" s="87">
        <v>7.4999999999999997E-2</v>
      </c>
      <c r="E21" s="88">
        <v>0.2</v>
      </c>
      <c r="F21" s="14">
        <f t="shared" si="5"/>
        <v>20625</v>
      </c>
      <c r="G21" s="15">
        <f t="shared" si="6"/>
        <v>4125000</v>
      </c>
      <c r="H21" s="15">
        <f t="shared" si="3"/>
        <v>825000</v>
      </c>
    </row>
    <row r="22" spans="1:8" x14ac:dyDescent="0.35">
      <c r="A22" s="15">
        <f t="shared" si="4"/>
        <v>56250000</v>
      </c>
      <c r="B22">
        <v>45</v>
      </c>
      <c r="C22" s="15">
        <v>1250000</v>
      </c>
      <c r="D22" s="87">
        <v>7.4999999999999997E-2</v>
      </c>
      <c r="E22" s="88">
        <v>0.2</v>
      </c>
      <c r="F22" s="14">
        <f t="shared" si="5"/>
        <v>18750</v>
      </c>
      <c r="G22" s="15">
        <f t="shared" si="6"/>
        <v>4218750</v>
      </c>
      <c r="H22" s="15">
        <f t="shared" si="3"/>
        <v>843750</v>
      </c>
    </row>
    <row r="23" spans="1:8" x14ac:dyDescent="0.35">
      <c r="A23" s="15">
        <f t="shared" si="4"/>
        <v>55000000</v>
      </c>
      <c r="B23">
        <v>50</v>
      </c>
      <c r="C23" s="15">
        <v>1100000</v>
      </c>
      <c r="D23" s="87">
        <v>7.4999999999999997E-2</v>
      </c>
      <c r="E23" s="88">
        <v>0.2</v>
      </c>
      <c r="F23" s="14">
        <f t="shared" si="5"/>
        <v>16500</v>
      </c>
      <c r="G23" s="15">
        <f t="shared" si="6"/>
        <v>4125000</v>
      </c>
      <c r="H23" s="15">
        <f t="shared" si="3"/>
        <v>825000</v>
      </c>
    </row>
    <row r="24" spans="1:8" x14ac:dyDescent="0.35">
      <c r="D24" s="87"/>
      <c r="F24" s="14"/>
    </row>
    <row r="25" spans="1:8" ht="18.5" x14ac:dyDescent="0.45">
      <c r="A25" s="84" t="s">
        <v>377</v>
      </c>
      <c r="B25" s="85" t="s">
        <v>372</v>
      </c>
      <c r="C25" s="85" t="s">
        <v>373</v>
      </c>
      <c r="D25" s="86" t="s">
        <v>368</v>
      </c>
      <c r="E25" s="89" t="s">
        <v>371</v>
      </c>
      <c r="F25" s="85" t="s">
        <v>375</v>
      </c>
      <c r="G25" s="85" t="s">
        <v>374</v>
      </c>
      <c r="H25" s="85" t="s">
        <v>369</v>
      </c>
    </row>
    <row r="26" spans="1:8" x14ac:dyDescent="0.35">
      <c r="A26" s="90">
        <f>C26/B26</f>
        <v>50</v>
      </c>
      <c r="B26" s="15">
        <f t="shared" ref="B26:B35" si="7">G26*E26</f>
        <v>1100000</v>
      </c>
      <c r="C26" s="15">
        <v>55000000</v>
      </c>
      <c r="D26" s="87">
        <v>0.1</v>
      </c>
      <c r="E26" s="88">
        <v>0.2</v>
      </c>
      <c r="F26" s="14">
        <f>B26*E26</f>
        <v>220000</v>
      </c>
      <c r="G26" s="15">
        <f>C26*D26</f>
        <v>5500000</v>
      </c>
      <c r="H26" s="15">
        <f t="shared" si="3"/>
        <v>1100000</v>
      </c>
    </row>
    <row r="27" spans="1:8" x14ac:dyDescent="0.35">
      <c r="A27" s="90">
        <f t="shared" ref="A27:A35" si="8">C27/B27</f>
        <v>52.631578947368418</v>
      </c>
      <c r="B27" s="15">
        <f t="shared" si="7"/>
        <v>1045000</v>
      </c>
      <c r="C27" s="15">
        <v>55000000</v>
      </c>
      <c r="D27" s="87">
        <v>9.5000000000000001E-2</v>
      </c>
      <c r="E27" s="88">
        <v>0.2</v>
      </c>
      <c r="F27" s="14">
        <f t="shared" ref="F27:F35" si="9">B27*E27</f>
        <v>209000</v>
      </c>
      <c r="G27" s="15">
        <f t="shared" ref="G27:G35" si="10">C27*D27</f>
        <v>5225000</v>
      </c>
      <c r="H27" s="15">
        <f t="shared" si="3"/>
        <v>1045000</v>
      </c>
    </row>
    <row r="28" spans="1:8" x14ac:dyDescent="0.35">
      <c r="A28" s="90">
        <f t="shared" si="8"/>
        <v>55.555555555555557</v>
      </c>
      <c r="B28" s="15">
        <f t="shared" si="7"/>
        <v>990000</v>
      </c>
      <c r="C28" s="15">
        <v>55000000</v>
      </c>
      <c r="D28" s="87">
        <v>0.09</v>
      </c>
      <c r="E28" s="88">
        <v>0.2</v>
      </c>
      <c r="F28" s="14">
        <f t="shared" si="9"/>
        <v>198000</v>
      </c>
      <c r="G28" s="15">
        <f t="shared" si="10"/>
        <v>4950000</v>
      </c>
      <c r="H28" s="15">
        <f t="shared" si="3"/>
        <v>990000</v>
      </c>
    </row>
    <row r="29" spans="1:8" x14ac:dyDescent="0.35">
      <c r="A29" s="90">
        <f t="shared" si="8"/>
        <v>58.823529411764703</v>
      </c>
      <c r="B29" s="15">
        <f t="shared" si="7"/>
        <v>935000</v>
      </c>
      <c r="C29" s="15">
        <v>55000000</v>
      </c>
      <c r="D29" s="87">
        <v>8.5000000000000006E-2</v>
      </c>
      <c r="E29" s="88">
        <v>0.2</v>
      </c>
      <c r="F29" s="14">
        <f t="shared" si="9"/>
        <v>187000</v>
      </c>
      <c r="G29" s="15">
        <f t="shared" si="10"/>
        <v>4675000</v>
      </c>
      <c r="H29" s="15">
        <f t="shared" si="3"/>
        <v>935000</v>
      </c>
    </row>
    <row r="30" spans="1:8" x14ac:dyDescent="0.35">
      <c r="A30" s="90">
        <f t="shared" si="8"/>
        <v>62.5</v>
      </c>
      <c r="B30" s="15">
        <f t="shared" si="7"/>
        <v>880000</v>
      </c>
      <c r="C30" s="15">
        <v>55000000</v>
      </c>
      <c r="D30" s="87">
        <v>0.08</v>
      </c>
      <c r="E30" s="88">
        <v>0.2</v>
      </c>
      <c r="F30" s="14">
        <f t="shared" si="9"/>
        <v>176000</v>
      </c>
      <c r="G30" s="15">
        <f t="shared" si="10"/>
        <v>4400000</v>
      </c>
      <c r="H30" s="15">
        <f t="shared" si="3"/>
        <v>880000</v>
      </c>
    </row>
    <row r="31" spans="1:8" x14ac:dyDescent="0.35">
      <c r="A31" s="90">
        <f t="shared" si="8"/>
        <v>66.666666666666671</v>
      </c>
      <c r="B31" s="15">
        <f t="shared" si="7"/>
        <v>825000</v>
      </c>
      <c r="C31" s="15">
        <v>55000000</v>
      </c>
      <c r="D31" s="87">
        <v>7.4999999999999997E-2</v>
      </c>
      <c r="E31" s="88">
        <v>0.2</v>
      </c>
      <c r="F31" s="14">
        <f t="shared" si="9"/>
        <v>165000</v>
      </c>
      <c r="G31" s="15">
        <f t="shared" si="10"/>
        <v>4125000</v>
      </c>
      <c r="H31" s="15">
        <f t="shared" si="3"/>
        <v>825000</v>
      </c>
    </row>
    <row r="32" spans="1:8" x14ac:dyDescent="0.35">
      <c r="A32" s="90">
        <f t="shared" si="8"/>
        <v>71.428571428571416</v>
      </c>
      <c r="B32" s="15">
        <f t="shared" si="7"/>
        <v>770000.00000000012</v>
      </c>
      <c r="C32" s="15">
        <v>55000000</v>
      </c>
      <c r="D32" s="87">
        <v>7.0000000000000007E-2</v>
      </c>
      <c r="E32" s="88">
        <v>0.2</v>
      </c>
      <c r="F32" s="14">
        <f t="shared" si="9"/>
        <v>154000.00000000003</v>
      </c>
      <c r="G32" s="15">
        <f t="shared" si="10"/>
        <v>3850000.0000000005</v>
      </c>
      <c r="H32" s="15">
        <f t="shared" si="3"/>
        <v>770000.00000000012</v>
      </c>
    </row>
    <row r="33" spans="1:8" x14ac:dyDescent="0.35">
      <c r="A33" s="90">
        <f t="shared" si="8"/>
        <v>76.92307692307692</v>
      </c>
      <c r="B33" s="15">
        <f t="shared" si="7"/>
        <v>715000</v>
      </c>
      <c r="C33" s="15">
        <v>55000000</v>
      </c>
      <c r="D33" s="87">
        <v>6.5000000000000002E-2</v>
      </c>
      <c r="E33" s="88">
        <v>0.2</v>
      </c>
      <c r="F33" s="14">
        <f t="shared" si="9"/>
        <v>143000</v>
      </c>
      <c r="G33" s="15">
        <f t="shared" si="10"/>
        <v>3575000</v>
      </c>
      <c r="H33" s="15">
        <f t="shared" si="3"/>
        <v>715000</v>
      </c>
    </row>
    <row r="34" spans="1:8" x14ac:dyDescent="0.35">
      <c r="A34" s="90">
        <f t="shared" si="8"/>
        <v>83.333333333333329</v>
      </c>
      <c r="B34" s="15">
        <f t="shared" si="7"/>
        <v>660000</v>
      </c>
      <c r="C34" s="15">
        <v>55000000</v>
      </c>
      <c r="D34" s="87">
        <v>0.06</v>
      </c>
      <c r="E34" s="88">
        <v>0.2</v>
      </c>
      <c r="F34" s="14">
        <f t="shared" si="9"/>
        <v>132000</v>
      </c>
      <c r="G34" s="15">
        <f t="shared" si="10"/>
        <v>3300000</v>
      </c>
      <c r="H34" s="15">
        <f t="shared" ref="H34:H35" si="11">G34*E34</f>
        <v>660000</v>
      </c>
    </row>
    <row r="35" spans="1:8" x14ac:dyDescent="0.35">
      <c r="A35" s="90">
        <f t="shared" si="8"/>
        <v>90.909090909090907</v>
      </c>
      <c r="B35" s="15">
        <f t="shared" si="7"/>
        <v>605000</v>
      </c>
      <c r="C35" s="15">
        <v>55000000</v>
      </c>
      <c r="D35" s="87">
        <v>5.5E-2</v>
      </c>
      <c r="E35" s="88">
        <v>0.2</v>
      </c>
      <c r="F35" s="14">
        <f t="shared" si="9"/>
        <v>121000</v>
      </c>
      <c r="G35" s="15">
        <f t="shared" si="10"/>
        <v>3025000</v>
      </c>
      <c r="H35" s="15">
        <f t="shared" si="11"/>
        <v>605000</v>
      </c>
    </row>
    <row r="36" spans="1:8" x14ac:dyDescent="0.35">
      <c r="F3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2020</vt:lpstr>
      <vt:lpstr>2021</vt:lpstr>
      <vt:lpstr>2022</vt:lpstr>
      <vt:lpstr>2023</vt:lpstr>
      <vt:lpstr>2024</vt:lpstr>
      <vt:lpstr>2025</vt:lpstr>
      <vt:lpstr>2026</vt:lpstr>
      <vt:lpstr>Estimate Comission</vt:lpstr>
      <vt:lpstr>26 Goals</vt:lpstr>
      <vt:lpstr>Goals estimator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Camden</dc:creator>
  <cp:lastModifiedBy>Matthew Aldrich</cp:lastModifiedBy>
  <cp:lastPrinted>2020-12-01T22:22:42Z</cp:lastPrinted>
  <dcterms:created xsi:type="dcterms:W3CDTF">2020-09-30T15:43:25Z</dcterms:created>
  <dcterms:modified xsi:type="dcterms:W3CDTF">2025-12-22T17:52:32Z</dcterms:modified>
</cp:coreProperties>
</file>